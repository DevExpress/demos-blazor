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VCS\2021.2\Demos.Win\SpreadsheetDemos\Data\"/>
    </mc:Choice>
  </mc:AlternateContent>
  <xr:revisionPtr revIDLastSave="0" documentId="13_ncr:1_{8EA7BF19-6696-4526-B064-D6D42E7DDFB7}" xr6:coauthVersionLast="47" xr6:coauthVersionMax="47" xr10:uidLastSave="{00000000-0000-0000-0000-000000000000}"/>
  <workbookProtection workbookPassword="CF7A" lockStructure="1"/>
  <bookViews>
    <workbookView xWindow="-120" yWindow="-120" windowWidth="29040" windowHeight="15840" xr2:uid="{00000000-000D-0000-FFFF-FFFF00000000}"/>
  </bookViews>
  <sheets>
    <sheet name="Invoice" sheetId="5" r:id="rId1"/>
    <sheet name="Customers" sheetId="1" state="hidden" r:id="rId2"/>
    <sheet name="Employees" sheetId="3" state="hidden" r:id="rId3"/>
    <sheet name="Products" sheetId="4" state="hidden" r:id="rId4"/>
    <sheet name="Stores" sheetId="6" state="hidden" r:id="rId5"/>
  </sheets>
  <definedNames>
    <definedName name="InvoiceItems" localSheetId="0">Invoice!$B$22:$M$25</definedName>
    <definedName name="_xlnm.Print_Area" localSheetId="0">Invoice!$B$1:$M$47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6" l="1"/>
  <c r="B2" i="6"/>
  <c r="H13" i="5" s="1"/>
  <c r="B11" i="5" l="1"/>
  <c r="H14" i="5"/>
  <c r="G23" i="5" l="1"/>
  <c r="G24" i="5"/>
  <c r="G25" i="5"/>
  <c r="G22" i="5"/>
  <c r="B14" i="5" l="1"/>
  <c r="B13" i="5"/>
  <c r="K23" i="5" l="1"/>
  <c r="K24" i="5"/>
  <c r="K25" i="5"/>
  <c r="K22" i="5"/>
  <c r="H10" i="5"/>
  <c r="K26" i="5" l="1"/>
  <c r="K28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Roman Tabunnikov</author>
  </authors>
  <commentList>
    <comment ref="B9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Select a customer name then proceed to specify the Shipping Address.</t>
        </r>
      </text>
    </comment>
    <comment ref="H9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All merchandise listed on this invoice will be shipped to this store location.</t>
        </r>
      </text>
    </comment>
  </commentList>
</comments>
</file>

<file path=xl/sharedStrings.xml><?xml version="1.0" encoding="utf-8"?>
<sst xmlns="http://schemas.openxmlformats.org/spreadsheetml/2006/main" count="1957" uniqueCount="1199">
  <si>
    <t>Id</t>
  </si>
  <si>
    <t>Name</t>
  </si>
  <si>
    <t>HomeOffice_Line</t>
  </si>
  <si>
    <t>HomeOffice_City</t>
  </si>
  <si>
    <t>HomeOffice_State</t>
  </si>
  <si>
    <t>HomeOffice_ZipCode</t>
  </si>
  <si>
    <t>BillingAddress_Line</t>
  </si>
  <si>
    <t>BillingAddress_City</t>
  </si>
  <si>
    <t>BillingAddress_State</t>
  </si>
  <si>
    <t>BillingAddress_ZipCode</t>
  </si>
  <si>
    <t>Phone</t>
  </si>
  <si>
    <t>Fax</t>
  </si>
  <si>
    <t>Website</t>
  </si>
  <si>
    <t>TotalStores</t>
  </si>
  <si>
    <t>TotalEmployees</t>
  </si>
  <si>
    <t>Status</t>
  </si>
  <si>
    <t>3EB0A894-60E6-E311-A609-080027D10434</t>
  </si>
  <si>
    <t>Super Mart of the West</t>
  </si>
  <si>
    <t>702 SW 8th Street</t>
  </si>
  <si>
    <t>Bentonville</t>
  </si>
  <si>
    <t>P O Box 5342427</t>
  </si>
  <si>
    <t>(800) 555-2797</t>
  </si>
  <si>
    <t>(800) 555-2171</t>
  </si>
  <si>
    <t>http://www.nowebsitesupermart.com</t>
  </si>
  <si>
    <t>3FB0A894-60E6-E311-A609-080027D10434</t>
  </si>
  <si>
    <t>Electronics Depot</t>
  </si>
  <si>
    <t>2455 Paces Ferry Road NW</t>
  </si>
  <si>
    <t>Atlanta</t>
  </si>
  <si>
    <t>P O Box 6593265</t>
  </si>
  <si>
    <t>(800) 595-3232</t>
  </si>
  <si>
    <t>(800) 595-3231</t>
  </si>
  <si>
    <t>http://www.nowebsitedepot.com</t>
  </si>
  <si>
    <t>40B0A894-60E6-E311-A609-080027D10434</t>
  </si>
  <si>
    <t>K&amp;S Music</t>
  </si>
  <si>
    <t>1000 Nicllet Mall</t>
  </si>
  <si>
    <t>Minneapolis</t>
  </si>
  <si>
    <t>P O Box 8596565</t>
  </si>
  <si>
    <t>(612) 304-6073</t>
  </si>
  <si>
    <t>(612) 304-6074</t>
  </si>
  <si>
    <t>http://www.nowebsitemusic.com</t>
  </si>
  <si>
    <t>41B0A894-60E6-E311-A609-080027D10434</t>
  </si>
  <si>
    <t>Tom's Club</t>
  </si>
  <si>
    <t>999 Lake Drive</t>
  </si>
  <si>
    <t>Issaquah</t>
  </si>
  <si>
    <t>P O Box 3433125</t>
  </si>
  <si>
    <t>(800) 955-2292</t>
  </si>
  <si>
    <t>(800) 955-2293</t>
  </si>
  <si>
    <t>http://www.nowebsitetomsclub.com</t>
  </si>
  <si>
    <t>42B0A894-60E6-E311-A609-080027D10434</t>
  </si>
  <si>
    <t>E-Mart</t>
  </si>
  <si>
    <t>3333 Beverly Rd</t>
  </si>
  <si>
    <t>Hoffman Estates</t>
  </si>
  <si>
    <t>P O Box 2424569</t>
  </si>
  <si>
    <t>(847) 286-2500</t>
  </si>
  <si>
    <t>(847) 286-2501</t>
  </si>
  <si>
    <t>http://www.nowebsiteemart.com</t>
  </si>
  <si>
    <t>43B0A894-60E6-E311-A609-080027D10434</t>
  </si>
  <si>
    <t>Walters</t>
  </si>
  <si>
    <t>200 Wilmot Rd</t>
  </si>
  <si>
    <t>Deerfield</t>
  </si>
  <si>
    <t>P O Box 3885696</t>
  </si>
  <si>
    <t>(847) 940-2500</t>
  </si>
  <si>
    <t>(847) 940-2501</t>
  </si>
  <si>
    <t>http://www.nowebsitewalters.com</t>
  </si>
  <si>
    <t>44B0A894-60E6-E311-A609-080027D10434</t>
  </si>
  <si>
    <t>StereoShack</t>
  </si>
  <si>
    <t>400 Commerce S</t>
  </si>
  <si>
    <t>Fort Worth</t>
  </si>
  <si>
    <t>P O Box 7814522</t>
  </si>
  <si>
    <t>(817) 820-0741</t>
  </si>
  <si>
    <t>(817) 820-0742</t>
  </si>
  <si>
    <t>http://www.nowebsiteshack.com</t>
  </si>
  <si>
    <t>45B0A894-60E6-E311-A609-080027D10434</t>
  </si>
  <si>
    <t>Circuit Town</t>
  </si>
  <si>
    <t>2200 Kensington Court</t>
  </si>
  <si>
    <t>Oak Brook</t>
  </si>
  <si>
    <t>P O Box 3996325</t>
  </si>
  <si>
    <t>(800) 955-2929</t>
  </si>
  <si>
    <t>(800) 955-9392</t>
  </si>
  <si>
    <t>http://www.nowebsitecircuittown.com</t>
  </si>
  <si>
    <t>46B0A894-60E6-E311-A609-080027D10434</t>
  </si>
  <si>
    <t>Premier Buy</t>
  </si>
  <si>
    <t>7601 Penn Avenue South</t>
  </si>
  <si>
    <t>Richfield</t>
  </si>
  <si>
    <t>P O Box 4141288</t>
  </si>
  <si>
    <t>(612) 291-1000</t>
  </si>
  <si>
    <t>(612) 291-2001</t>
  </si>
  <si>
    <t>http://www.nowebsitepremierbuy.com</t>
  </si>
  <si>
    <t>47B0A894-60E6-E311-A609-080027D10434</t>
  </si>
  <si>
    <t>ElectrixMax</t>
  </si>
  <si>
    <t>263 Shuman Blvd</t>
  </si>
  <si>
    <t>Naperville</t>
  </si>
  <si>
    <t>P O Box 6386854</t>
  </si>
  <si>
    <t>(630) 438-7800</t>
  </si>
  <si>
    <t>(630) 438-7801</t>
  </si>
  <si>
    <t>http://www.nowebsiteelectrixmax.com</t>
  </si>
  <si>
    <t>48B0A894-60E6-E311-A609-080027D10434</t>
  </si>
  <si>
    <t>Video Emporium</t>
  </si>
  <si>
    <t>1201 Elm Street</t>
  </si>
  <si>
    <t>Dallas</t>
  </si>
  <si>
    <t>P O Box 8578756</t>
  </si>
  <si>
    <t>(214) 854-3000</t>
  </si>
  <si>
    <t>(214) 854-3001</t>
  </si>
  <si>
    <t>http://www.nowebsitevideoemporium.com</t>
  </si>
  <si>
    <t>49B0A894-60E6-E311-A609-080027D10434</t>
  </si>
  <si>
    <t>Screen Shop</t>
  </si>
  <si>
    <t>1000 Lowes Blvd</t>
  </si>
  <si>
    <t>Mooresville</t>
  </si>
  <si>
    <t>P O Box 5622247</t>
  </si>
  <si>
    <t>(800) 445-6937</t>
  </si>
  <si>
    <t>(800) 445-6938</t>
  </si>
  <si>
    <t>http://www.nowebsitescreenshop.com</t>
  </si>
  <si>
    <t>4AB0A894-60E6-E311-A609-080027D10434</t>
  </si>
  <si>
    <t>Braeburn</t>
  </si>
  <si>
    <t>1 Infinite Loop</t>
  </si>
  <si>
    <t>Cupertino</t>
  </si>
  <si>
    <t>P O Box 7487436</t>
  </si>
  <si>
    <t>(408) 996-1010</t>
  </si>
  <si>
    <t>(408) 996-1012</t>
  </si>
  <si>
    <t>http://www.nowebsitebraeburn.com</t>
  </si>
  <si>
    <t>4BB0A894-60E6-E311-A609-080027D10434</t>
  </si>
  <si>
    <t>PriceCo</t>
  </si>
  <si>
    <t>30 Hunter Lane</t>
  </si>
  <si>
    <t>Camp Hill</t>
  </si>
  <si>
    <t>P O Box 8452277</t>
  </si>
  <si>
    <t>(717) 761-2633</t>
  </si>
  <si>
    <t>(717) 761-2334</t>
  </si>
  <si>
    <t>http://www.nowebsitepriceco.com</t>
  </si>
  <si>
    <t>4CB0A894-60E6-E311-A609-080027D10434</t>
  </si>
  <si>
    <t>Ultimate Gadget</t>
  </si>
  <si>
    <t>1557 Watson Blvd</t>
  </si>
  <si>
    <t>Warner Robbins</t>
  </si>
  <si>
    <t>P O Box 2653499</t>
  </si>
  <si>
    <t>(995) 623-6785</t>
  </si>
  <si>
    <t>(995) 623-6786</t>
  </si>
  <si>
    <t>http://www.nowebsiteultimategadget.com</t>
  </si>
  <si>
    <t>4DB0A894-60E6-E311-A609-080027D10434</t>
  </si>
  <si>
    <t>EZ Stop</t>
  </si>
  <si>
    <t>618 Michillinda Ave.</t>
  </si>
  <si>
    <t>Arcadia</t>
  </si>
  <si>
    <t>P O Box 5623325</t>
  </si>
  <si>
    <t>(626) 265-8632</t>
  </si>
  <si>
    <t>(626) 265-8633</t>
  </si>
  <si>
    <t>http://www.nowebsiteezstop.com</t>
  </si>
  <si>
    <t>4EB0A894-60E6-E311-A609-080027D10434</t>
  </si>
  <si>
    <t>Clicker</t>
  </si>
  <si>
    <t>1100 W. Artesia Blvd.</t>
  </si>
  <si>
    <t>Compton</t>
  </si>
  <si>
    <t>P O Box 8547888</t>
  </si>
  <si>
    <t>(310) 884-9000</t>
  </si>
  <si>
    <t>(310) 884-9001</t>
  </si>
  <si>
    <t>http://www.nowebsiteclicker.com</t>
  </si>
  <si>
    <t>4FB0A894-60E6-E311-A609-080027D10434</t>
  </si>
  <si>
    <t>Store of America</t>
  </si>
  <si>
    <t>2401 Utah Ave. South</t>
  </si>
  <si>
    <t>Seattle</t>
  </si>
  <si>
    <t>P O Box 7887265</t>
  </si>
  <si>
    <t>(206) 447-1575</t>
  </si>
  <si>
    <t>(206) 447-1576</t>
  </si>
  <si>
    <t>http://www.nowebsiteamerica.com</t>
  </si>
  <si>
    <t>50B0A894-60E6-E311-A609-080027D10434</t>
  </si>
  <si>
    <t>Zone Toys</t>
  </si>
  <si>
    <t>1945 S Cienega Boulevard</t>
  </si>
  <si>
    <t>Los Angeles</t>
  </si>
  <si>
    <t>P O Box 7215423</t>
  </si>
  <si>
    <t>(310) 237-5642</t>
  </si>
  <si>
    <t>(310) 237-5643</t>
  </si>
  <si>
    <t>http://www.nowebsitezonetoys.com</t>
  </si>
  <si>
    <t>51B0A894-60E6-E311-A609-080027D10434</t>
  </si>
  <si>
    <t>ACME</t>
  </si>
  <si>
    <t>2525 E El Segundo Blvd</t>
  </si>
  <si>
    <t>El Segundo</t>
  </si>
  <si>
    <t>P O Box 2412433</t>
  </si>
  <si>
    <t>(310) 536-0611</t>
  </si>
  <si>
    <t>(310) 536-0612</t>
  </si>
  <si>
    <t>http://www.nowebsiteacme.com</t>
  </si>
  <si>
    <t>Department</t>
  </si>
  <si>
    <t>Title</t>
  </si>
  <si>
    <t>HireDate</t>
  </si>
  <si>
    <t>Order</t>
  </si>
  <si>
    <t>FirstName</t>
  </si>
  <si>
    <t>LastName</t>
  </si>
  <si>
    <t>FullName</t>
  </si>
  <si>
    <t>Prefix</t>
  </si>
  <si>
    <t>HomePhone</t>
  </si>
  <si>
    <t>MobilePhone</t>
  </si>
  <si>
    <t>Email</t>
  </si>
  <si>
    <t>Skype</t>
  </si>
  <si>
    <t>BirthDate</t>
  </si>
  <si>
    <t>Address_Line</t>
  </si>
  <si>
    <t>Address_City</t>
  </si>
  <si>
    <t>Address_State</t>
  </si>
  <si>
    <t>Address_ZipCode</t>
  </si>
  <si>
    <t>E5AFA894-60E6-E311-A609-080027D10434</t>
  </si>
  <si>
    <t>Support Assistant</t>
  </si>
  <si>
    <t>Jack</t>
  </si>
  <si>
    <t>Garmin</t>
  </si>
  <si>
    <t>Jackie Garmin</t>
  </si>
  <si>
    <t>(213) 555-2828</t>
  </si>
  <si>
    <t>(213) 555-1824</t>
  </si>
  <si>
    <t>jackg@dx-email.com</t>
  </si>
  <si>
    <t>jackg_DX_skype</t>
  </si>
  <si>
    <t>807 West Paseo Del Mar</t>
  </si>
  <si>
    <t>E6AFA894-60E6-E311-A609-080027D10434</t>
  </si>
  <si>
    <t>Sales Assistant</t>
  </si>
  <si>
    <t>Lincoln</t>
  </si>
  <si>
    <t>Bartlett</t>
  </si>
  <si>
    <t>Lincoln Bartlett</t>
  </si>
  <si>
    <t>(213) 555-2587</t>
  </si>
  <si>
    <t>(213) 555-8272</t>
  </si>
  <si>
    <t>lincolnb@dx-email.com</t>
  </si>
  <si>
    <t>lincoln_DX_skype</t>
  </si>
  <si>
    <t>800 N Alameda St</t>
  </si>
  <si>
    <t>E7AFA894-60E6-E311-A609-080027D10434</t>
  </si>
  <si>
    <t>CEO</t>
  </si>
  <si>
    <t>John</t>
  </si>
  <si>
    <t>Heart</t>
  </si>
  <si>
    <t>John Heart</t>
  </si>
  <si>
    <t>(213) 555-9208</t>
  </si>
  <si>
    <t>(213) 555-9392</t>
  </si>
  <si>
    <t>jheart@dx-email.com</t>
  </si>
  <si>
    <t>jheart_DX_skype</t>
  </si>
  <si>
    <t>351 S Hill St.</t>
  </si>
  <si>
    <t>E8AFA894-60E6-E311-A609-080027D10434</t>
  </si>
  <si>
    <t>COO</t>
  </si>
  <si>
    <t>Samantha</t>
  </si>
  <si>
    <t>Bright</t>
  </si>
  <si>
    <t>Samantha Bright</t>
  </si>
  <si>
    <t>(213) 555-0288</t>
  </si>
  <si>
    <t>(213) 555-2858</t>
  </si>
  <si>
    <t>samanthab@dx-email.com</t>
  </si>
  <si>
    <t>samanthab_DX_skype</t>
  </si>
  <si>
    <t>5801 Wilshire Blvd.</t>
  </si>
  <si>
    <t>E9AFA894-60E6-E311-A609-080027D10434</t>
  </si>
  <si>
    <t>CTO</t>
  </si>
  <si>
    <t>Arthur</t>
  </si>
  <si>
    <t>Miller</t>
  </si>
  <si>
    <t>Arthur Miller</t>
  </si>
  <si>
    <t>(310) 555-6542</t>
  </si>
  <si>
    <t>(310) 555-8583</t>
  </si>
  <si>
    <t>arthurm@dx-email.com</t>
  </si>
  <si>
    <t>arthurm_DX_skype</t>
  </si>
  <si>
    <t>3800 Homer St.</t>
  </si>
  <si>
    <t>EAAFA894-60E6-E311-A609-080027D10434</t>
  </si>
  <si>
    <t>CMO</t>
  </si>
  <si>
    <t>Robert</t>
  </si>
  <si>
    <t>Reagan</t>
  </si>
  <si>
    <t>Robert Reagan</t>
  </si>
  <si>
    <t>(818) 555-2438</t>
  </si>
  <si>
    <t>(818) 555-2387</t>
  </si>
  <si>
    <t>robertr@dx-email.com</t>
  </si>
  <si>
    <t>robertr_DX_skype</t>
  </si>
  <si>
    <t>4 Westmoreland Pl.</t>
  </si>
  <si>
    <t>Pasadena</t>
  </si>
  <si>
    <t>EBAFA894-60E6-E311-A609-080027D10434</t>
  </si>
  <si>
    <t>HR Manager</t>
  </si>
  <si>
    <t>Greta</t>
  </si>
  <si>
    <t>Sims</t>
  </si>
  <si>
    <t>Greta Sims</t>
  </si>
  <si>
    <t>(818) 555-0976</t>
  </si>
  <si>
    <t>(818) 555-6546</t>
  </si>
  <si>
    <t>gretas@dx-email.com</t>
  </si>
  <si>
    <t>gretas_DX_skype</t>
  </si>
  <si>
    <t>1700 S Grandview Dr.</t>
  </si>
  <si>
    <t>Alhambra</t>
  </si>
  <si>
    <t>ECAFA894-60E6-E311-A609-080027D10434</t>
  </si>
  <si>
    <t>IT Manager</t>
  </si>
  <si>
    <t>Brett</t>
  </si>
  <si>
    <t>Wade</t>
  </si>
  <si>
    <t>Brett Wade</t>
  </si>
  <si>
    <t>(626) 555-5985</t>
  </si>
  <si>
    <t>(626) 555-0358</t>
  </si>
  <si>
    <t>brettw@dx-email.com</t>
  </si>
  <si>
    <t>brettw_DX_skype</t>
  </si>
  <si>
    <t>1120 Old Mill Rd.</t>
  </si>
  <si>
    <t>San Marino</t>
  </si>
  <si>
    <t>EDAFA894-60E6-E311-A609-080027D10434</t>
  </si>
  <si>
    <t>Controller</t>
  </si>
  <si>
    <t>Sandra</t>
  </si>
  <si>
    <t>Johnson</t>
  </si>
  <si>
    <t>Sandra Johnson</t>
  </si>
  <si>
    <t>(562) 555-8272</t>
  </si>
  <si>
    <t>(562) 555-2082</t>
  </si>
  <si>
    <t>sandraj@dx-email.com</t>
  </si>
  <si>
    <t>sandraj_DX_skype</t>
  </si>
  <si>
    <t>4600 N Virginia Rd.</t>
  </si>
  <si>
    <t>Long Beach</t>
  </si>
  <si>
    <t>EEAFA894-60E6-E311-A609-080027D10434</t>
  </si>
  <si>
    <t>Sales Manager</t>
  </si>
  <si>
    <t>Edward</t>
  </si>
  <si>
    <t>Holmes</t>
  </si>
  <si>
    <t>Ed Holmes</t>
  </si>
  <si>
    <t>(310) 555-6098</t>
  </si>
  <si>
    <t>(310) 555-1288</t>
  </si>
  <si>
    <t>edwardh@dx-email.com</t>
  </si>
  <si>
    <t>edwardh_DX_skype</t>
  </si>
  <si>
    <t>23200 Pacific Coast Hwy</t>
  </si>
  <si>
    <t>Malibu</t>
  </si>
  <si>
    <t>EFAFA894-60E6-E311-A609-080027D10434</t>
  </si>
  <si>
    <t>Support Manager</t>
  </si>
  <si>
    <t>Barbara</t>
  </si>
  <si>
    <t>Banks</t>
  </si>
  <si>
    <t>Barb Banks</t>
  </si>
  <si>
    <t>(310) 555-9792</t>
  </si>
  <si>
    <t>(310) 555-3355</t>
  </si>
  <si>
    <t>barbarab@dx-email.com</t>
  </si>
  <si>
    <t>barbarab_DX_skype</t>
  </si>
  <si>
    <t>17985 Pacific Coast Hwy</t>
  </si>
  <si>
    <t>Pacific Palisades</t>
  </si>
  <si>
    <t>F0AFA894-60E6-E311-A609-080027D10434</t>
  </si>
  <si>
    <t>Shipping Manager</t>
  </si>
  <si>
    <t>Kevin</t>
  </si>
  <si>
    <t>Carter</t>
  </si>
  <si>
    <t>Kevin Carter</t>
  </si>
  <si>
    <t>(213) 555-8038</t>
  </si>
  <si>
    <t>(213) 555-2840</t>
  </si>
  <si>
    <t>kevinc@dx-email.com</t>
  </si>
  <si>
    <t>kevinc_DX_skype</t>
  </si>
  <si>
    <t>424 N Main St.</t>
  </si>
  <si>
    <t>F1AFA894-60E6-E311-A609-080027D10434</t>
  </si>
  <si>
    <t>HR Assistant</t>
  </si>
  <si>
    <t>Cynthia</t>
  </si>
  <si>
    <t>Stanwick</t>
  </si>
  <si>
    <t>Cindy Stanwick</t>
  </si>
  <si>
    <t>(818) 555-0828</t>
  </si>
  <si>
    <t>(818) 555-6655</t>
  </si>
  <si>
    <t>cindys@dx-email.com</t>
  </si>
  <si>
    <t>cindys_DX_skype</t>
  </si>
  <si>
    <t>2211 Bonita Dr.</t>
  </si>
  <si>
    <t>Glendale</t>
  </si>
  <si>
    <t>F2AFA894-60E6-E311-A609-080027D10434</t>
  </si>
  <si>
    <t>Sam</t>
  </si>
  <si>
    <t>Hill</t>
  </si>
  <si>
    <t>Sammy Hill</t>
  </si>
  <si>
    <t>(626) 554-3168</t>
  </si>
  <si>
    <t>(626) 555-7292</t>
  </si>
  <si>
    <t>sammyh@dx-email.com</t>
  </si>
  <si>
    <t>sammyh_DX_skype</t>
  </si>
  <si>
    <t>645 Prospect Crescent</t>
  </si>
  <si>
    <t>F3AFA894-60E6-E311-A609-080027D10434</t>
  </si>
  <si>
    <t>Shipping Assistant</t>
  </si>
  <si>
    <t>David</t>
  </si>
  <si>
    <t>Jones</t>
  </si>
  <si>
    <t>Davey Jones</t>
  </si>
  <si>
    <t>(626) 555-4422</t>
  </si>
  <si>
    <t>(626) 555-0281</t>
  </si>
  <si>
    <t>davidj@dx-email.com</t>
  </si>
  <si>
    <t>davidj_DX_skype</t>
  </si>
  <si>
    <t>391 S Orange Grove Blvd.</t>
  </si>
  <si>
    <t>F4AFA894-60E6-E311-A609-080027D10434</t>
  </si>
  <si>
    <t>Victor</t>
  </si>
  <si>
    <t>Norris</t>
  </si>
  <si>
    <t>Victor Norris</t>
  </si>
  <si>
    <t>(213) 555-2827</t>
  </si>
  <si>
    <t>(213) 555-9278</t>
  </si>
  <si>
    <t>victorn@dx-email.com</t>
  </si>
  <si>
    <t>victorn_DX_skype</t>
  </si>
  <si>
    <t>811 West 7th St.</t>
  </si>
  <si>
    <t>F5AFA894-60E6-E311-A609-080027D10434</t>
  </si>
  <si>
    <t>Mary</t>
  </si>
  <si>
    <t>Stern</t>
  </si>
  <si>
    <t>Mary Stern</t>
  </si>
  <si>
    <t>(818) 555-8375</t>
  </si>
  <si>
    <t>(818) 555-7857</t>
  </si>
  <si>
    <t>marys@dx-email.com</t>
  </si>
  <si>
    <t>marys_DX_skype</t>
  </si>
  <si>
    <t>113 N Cedar St.</t>
  </si>
  <si>
    <t>F6AFA894-60E6-E311-A609-080027D10434</t>
  </si>
  <si>
    <t>Robin</t>
  </si>
  <si>
    <t>Cosworth</t>
  </si>
  <si>
    <t>Robin Cosworth</t>
  </si>
  <si>
    <t>(818) 555-9266</t>
  </si>
  <si>
    <t>(818) 555-0942</t>
  </si>
  <si>
    <t>robinc@dx-email.com</t>
  </si>
  <si>
    <t>robinc_DX_skype</t>
  </si>
  <si>
    <t>501 N Main St.</t>
  </si>
  <si>
    <t>F7AFA894-60E6-E311-A609-080027D10434</t>
  </si>
  <si>
    <t>Kelly</t>
  </si>
  <si>
    <t>Rodriguez</t>
  </si>
  <si>
    <t>Kelly Rodriguez</t>
  </si>
  <si>
    <t>(818) 555-9792</t>
  </si>
  <si>
    <t>(818) 555-9248</t>
  </si>
  <si>
    <t>kellyr@dx-email.com</t>
  </si>
  <si>
    <t>kellyr_DX_skype</t>
  </si>
  <si>
    <t>1601 W Mountain St.</t>
  </si>
  <si>
    <t>F8AFA894-60E6-E311-A609-080027D10434</t>
  </si>
  <si>
    <t>James</t>
  </si>
  <si>
    <t>Anderson</t>
  </si>
  <si>
    <t>James Anderson</t>
  </si>
  <si>
    <t>(323) 555-2087</t>
  </si>
  <si>
    <t>(323) 555-4702</t>
  </si>
  <si>
    <t>jamesa@dx-email.com</t>
  </si>
  <si>
    <t>jamesa_DX_skype</t>
  </si>
  <si>
    <t>4800 Hollywood Blvd</t>
  </si>
  <si>
    <t>F9AFA894-60E6-E311-A609-080027D10434</t>
  </si>
  <si>
    <t>Anthony</t>
  </si>
  <si>
    <t>Remmen</t>
  </si>
  <si>
    <t>Antony Remmen</t>
  </si>
  <si>
    <t>(310) 555-0009</t>
  </si>
  <si>
    <t>(310) 555-6625</t>
  </si>
  <si>
    <t>anthonyr@dx-email.com</t>
  </si>
  <si>
    <t>anthonyr_DX_skype</t>
  </si>
  <si>
    <t>1542 S Beacon St</t>
  </si>
  <si>
    <t>San Pedro</t>
  </si>
  <si>
    <t>FAAFA894-60E6-E311-A609-080027D10434</t>
  </si>
  <si>
    <t>Olivia</t>
  </si>
  <si>
    <t>Peyton</t>
  </si>
  <si>
    <t>Olivia Peyton</t>
  </si>
  <si>
    <t>(310) 555-8247</t>
  </si>
  <si>
    <t>(310) 555-2728</t>
  </si>
  <si>
    <t>oliviap@dx-email.com</t>
  </si>
  <si>
    <t>oliviap_DX_skype</t>
  </si>
  <si>
    <t>807 W Paseo Del Mar</t>
  </si>
  <si>
    <t>FBAFA894-60E6-E311-A609-080027D10434</t>
  </si>
  <si>
    <t>Network Admin</t>
  </si>
  <si>
    <t>Taylor</t>
  </si>
  <si>
    <t>Riley</t>
  </si>
  <si>
    <t>Taylor Riley</t>
  </si>
  <si>
    <t>(310) 555-2134</t>
  </si>
  <si>
    <t>(310) 555-7276</t>
  </si>
  <si>
    <t>taylorr@dx-email.com</t>
  </si>
  <si>
    <t>taylorr_DX_skype</t>
  </si>
  <si>
    <t>7776 Torreyson Dr</t>
  </si>
  <si>
    <t>West Hollywood</t>
  </si>
  <si>
    <t>FCAFA894-60E6-E311-A609-080027D10434</t>
  </si>
  <si>
    <t>Amelia</t>
  </si>
  <si>
    <t>Harper</t>
  </si>
  <si>
    <t>Amelia Harper</t>
  </si>
  <si>
    <t>(213) 555-3792</t>
  </si>
  <si>
    <t>(213) 555-4276</t>
  </si>
  <si>
    <t>ameliah@dx-email.com</t>
  </si>
  <si>
    <t>ameliah_DX_skype</t>
  </si>
  <si>
    <t>527 W 7th St</t>
  </si>
  <si>
    <t>FDAFA894-60E6-E311-A609-080027D10434</t>
  </si>
  <si>
    <t>Programmer</t>
  </si>
  <si>
    <t>Walter</t>
  </si>
  <si>
    <t>Hobbs</t>
  </si>
  <si>
    <t>Wally Hobbs</t>
  </si>
  <si>
    <t>(818) 555-2478</t>
  </si>
  <si>
    <t>(818) 555-8872</t>
  </si>
  <si>
    <t>wallyh@dx-email.com</t>
  </si>
  <si>
    <t>wallyh_DX_skype</t>
  </si>
  <si>
    <t>10385 Shadow Oak Dr</t>
  </si>
  <si>
    <t>Chatsworth</t>
  </si>
  <si>
    <t>FEAFA894-60E6-E311-A609-080027D10434</t>
  </si>
  <si>
    <t>Bradley</t>
  </si>
  <si>
    <t>Jameson</t>
  </si>
  <si>
    <t>Brad Jameson</t>
  </si>
  <si>
    <t>(818) 555-9098</t>
  </si>
  <si>
    <t>(818) 555-4646</t>
  </si>
  <si>
    <t>bradleyj@dx-email.com</t>
  </si>
  <si>
    <t>bradleyj_DX_skype</t>
  </si>
  <si>
    <t>1100 Pico St</t>
  </si>
  <si>
    <t>San Fernando</t>
  </si>
  <si>
    <t>FFAFA894-60E6-E311-A609-080027D10434</t>
  </si>
  <si>
    <t>Karen</t>
  </si>
  <si>
    <t>Goodson</t>
  </si>
  <si>
    <t>Karen Goodson</t>
  </si>
  <si>
    <t>(626) 555-0822</t>
  </si>
  <si>
    <t>(626) 555-0908</t>
  </si>
  <si>
    <t>kareng@dx-email.com</t>
  </si>
  <si>
    <t>kareng_DX_skype</t>
  </si>
  <si>
    <t>309 Monterey Rd</t>
  </si>
  <si>
    <t>South Pasadena</t>
  </si>
  <si>
    <t>00B0A894-60E6-E311-A609-080027D10434</t>
  </si>
  <si>
    <t>Travel Coordinator</t>
  </si>
  <si>
    <t>Marcus</t>
  </si>
  <si>
    <t>Orbison</t>
  </si>
  <si>
    <t>Marcus Orbison</t>
  </si>
  <si>
    <t>(213) 555-2608</t>
  </si>
  <si>
    <t>(213) 555-7098</t>
  </si>
  <si>
    <t>marcuso@dx-email.com</t>
  </si>
  <si>
    <t>marcuso_DX_skype</t>
  </si>
  <si>
    <t>501 N Main St</t>
  </si>
  <si>
    <t>01B0A894-60E6-E311-A609-080027D10434</t>
  </si>
  <si>
    <t>Benefits Coordinator</t>
  </si>
  <si>
    <t>Sandy Bright</t>
  </si>
  <si>
    <t>(818) 555-5072</t>
  </si>
  <si>
    <t>(818) 555-0524</t>
  </si>
  <si>
    <t>sandrab@dx-email.com</t>
  </si>
  <si>
    <t>sandrab_DX_skype</t>
  </si>
  <si>
    <t>7570 McGroarty Ter</t>
  </si>
  <si>
    <t>Tujunga</t>
  </si>
  <si>
    <t>02B0A894-60E6-E311-A609-080027D10434</t>
  </si>
  <si>
    <t>Graphic Designer</t>
  </si>
  <si>
    <t>Morgan</t>
  </si>
  <si>
    <t>Kennedy</t>
  </si>
  <si>
    <t>Morgan Kennedy</t>
  </si>
  <si>
    <t>(818) 555-3973</t>
  </si>
  <si>
    <t>(818) 555-8238</t>
  </si>
  <si>
    <t>morgank@dx-email.com</t>
  </si>
  <si>
    <t>morgank_DX_skype</t>
  </si>
  <si>
    <t>11222 Dilling St</t>
  </si>
  <si>
    <t>San Fernando Valley</t>
  </si>
  <si>
    <t>03B0A894-60E6-E311-A609-080027D10434</t>
  </si>
  <si>
    <t>Jr Graphic Designer</t>
  </si>
  <si>
    <t>Violet</t>
  </si>
  <si>
    <t>Bailey</t>
  </si>
  <si>
    <t>Violet Bailey</t>
  </si>
  <si>
    <t>(818) 555-3085</t>
  </si>
  <si>
    <t>violetb@dx-email.com</t>
  </si>
  <si>
    <t>violetb_DX_skype</t>
  </si>
  <si>
    <t>1418 Descanso Dr</t>
  </si>
  <si>
    <t>La Canada</t>
  </si>
  <si>
    <t>04B0A894-60E6-E311-A609-080027D10434</t>
  </si>
  <si>
    <t>Ombudsman</t>
  </si>
  <si>
    <t>Kent</t>
  </si>
  <si>
    <t>Samuelson</t>
  </si>
  <si>
    <t>Ken Samuelson</t>
  </si>
  <si>
    <t>(562) 555-9248</t>
  </si>
  <si>
    <t>(562) 555-9282</t>
  </si>
  <si>
    <t>kents@dx-email.com</t>
  </si>
  <si>
    <t>kents_DX_skype</t>
  </si>
  <si>
    <t>12100 Mora Dr</t>
  </si>
  <si>
    <t>Santa Fe Springs</t>
  </si>
  <si>
    <t>05B0A894-60E6-E311-A609-080027D10434</t>
  </si>
  <si>
    <t>Trainer</t>
  </si>
  <si>
    <t>Natalie</t>
  </si>
  <si>
    <t>Maguirre</t>
  </si>
  <si>
    <t>Nat Maguiree</t>
  </si>
  <si>
    <t>(562) 555-2829</t>
  </si>
  <si>
    <t>(562) 555-8377</t>
  </si>
  <si>
    <t>nataliem@dx-email.com</t>
  </si>
  <si>
    <t>nataliem_DX_skype</t>
  </si>
  <si>
    <t>6400 E Bixby Hill Rd</t>
  </si>
  <si>
    <t>06B0A894-60E6-E311-A609-080027D10434</t>
  </si>
  <si>
    <t>Director of Engineering</t>
  </si>
  <si>
    <t>Bart</t>
  </si>
  <si>
    <t>Arnaz</t>
  </si>
  <si>
    <t>Bart Arnaz</t>
  </si>
  <si>
    <t>(714) 555-6629</t>
  </si>
  <si>
    <t>(714) 555-2000</t>
  </si>
  <si>
    <t>barta@dx-email.com</t>
  </si>
  <si>
    <t>barta_DX_skype</t>
  </si>
  <si>
    <t>13109 Old Myford Rd</t>
  </si>
  <si>
    <t>Irvine</t>
  </si>
  <si>
    <t>07B0A894-60E6-E311-A609-080027D10434</t>
  </si>
  <si>
    <t>Test Coordinator</t>
  </si>
  <si>
    <t>Leah</t>
  </si>
  <si>
    <t>Simpson</t>
  </si>
  <si>
    <t>Leah Simpson</t>
  </si>
  <si>
    <t>(562) 555-7372</t>
  </si>
  <si>
    <t>(562) 559-5830</t>
  </si>
  <si>
    <t>leahs@dx-email.com</t>
  </si>
  <si>
    <t>leahs_DX_skype</t>
  </si>
  <si>
    <t>6755 Newlin Ave</t>
  </si>
  <si>
    <t>Whittier</t>
  </si>
  <si>
    <t>08B0A894-60E6-E311-A609-080027D10434</t>
  </si>
  <si>
    <t>Engineer</t>
  </si>
  <si>
    <t>Arnold</t>
  </si>
  <si>
    <t>Schwartz</t>
  </si>
  <si>
    <t>Arnie Schwartz</t>
  </si>
  <si>
    <t>(714) 555-1834</t>
  </si>
  <si>
    <t>(714) 555-8882</t>
  </si>
  <si>
    <t>arnolds@dx-email.com</t>
  </si>
  <si>
    <t>arnolds_DX_skype</t>
  </si>
  <si>
    <t>125 W Elm St</t>
  </si>
  <si>
    <t>Brea</t>
  </si>
  <si>
    <t>09B0A894-60E6-E311-A609-080027D10434</t>
  </si>
  <si>
    <t>William</t>
  </si>
  <si>
    <t>Zimmer</t>
  </si>
  <si>
    <t>Billy Zimmer</t>
  </si>
  <si>
    <t>(909) 555-8268</t>
  </si>
  <si>
    <t>(909) 555-6939</t>
  </si>
  <si>
    <t>williamz@dx-email.com</t>
  </si>
  <si>
    <t>william_DX_skype</t>
  </si>
  <si>
    <t>1325 Prospect Dr</t>
  </si>
  <si>
    <t>Redlands</t>
  </si>
  <si>
    <t>0AB0A894-60E6-E311-A609-080027D10434</t>
  </si>
  <si>
    <t>Piper</t>
  </si>
  <si>
    <t>Samantha Piper</t>
  </si>
  <si>
    <t>(323) 555-8338</t>
  </si>
  <si>
    <t>(323) 555-4512</t>
  </si>
  <si>
    <t>samanthap@dx-email.com</t>
  </si>
  <si>
    <t>samanthap_DX_skype</t>
  </si>
  <si>
    <t>200 E Ave 43</t>
  </si>
  <si>
    <t>0BB0A894-60E6-E311-A609-080027D10434</t>
  </si>
  <si>
    <t>Margaret</t>
  </si>
  <si>
    <t>Boxter</t>
  </si>
  <si>
    <t>Maggie Boxter</t>
  </si>
  <si>
    <t>(714) 555-0827</t>
  </si>
  <si>
    <t>(714) 555-7239</t>
  </si>
  <si>
    <t>margaretb@dx-email.com</t>
  </si>
  <si>
    <t>margaretb_DX_skype</t>
  </si>
  <si>
    <t>3101 W Harvard St</t>
  </si>
  <si>
    <t>Santa Ana</t>
  </si>
  <si>
    <t>0CB0A894-60E6-E311-A609-080027D10434</t>
  </si>
  <si>
    <t>QA Engineer</t>
  </si>
  <si>
    <t>Terry</t>
  </si>
  <si>
    <t>Terry Bradley</t>
  </si>
  <si>
    <t>(805) 555-1882</t>
  </si>
  <si>
    <t>(805) 555-2788</t>
  </si>
  <si>
    <t>terryb@dx-email.com</t>
  </si>
  <si>
    <t>terryb_DX_skype</t>
  </si>
  <si>
    <t>4595 Cochran St</t>
  </si>
  <si>
    <t>Simi Valley</t>
  </si>
  <si>
    <t>0DB0A894-60E6-E311-A609-080027D10434</t>
  </si>
  <si>
    <t>Retail Coordinator</t>
  </si>
  <si>
    <t>Gabriel</t>
  </si>
  <si>
    <t>Gabe Jones</t>
  </si>
  <si>
    <t>(310) 555-8372</t>
  </si>
  <si>
    <t>(310) 555-5395</t>
  </si>
  <si>
    <t>gabrielj@dx-email.com</t>
  </si>
  <si>
    <t>gabrielj_DX_skype</t>
  </si>
  <si>
    <t>1008 Elden Way</t>
  </si>
  <si>
    <t>Beverly Hills</t>
  </si>
  <si>
    <t>0EB0A894-60E6-E311-A609-080027D10434</t>
  </si>
  <si>
    <t>Lucy</t>
  </si>
  <si>
    <t>Ball</t>
  </si>
  <si>
    <t>Lucy Ball</t>
  </si>
  <si>
    <t>(310) 555-2426</t>
  </si>
  <si>
    <t>(310) 555-3357</t>
  </si>
  <si>
    <t>lucyb@dx-email.com</t>
  </si>
  <si>
    <t>lucyb_DX_skype</t>
  </si>
  <si>
    <t>203 Chautauqua Blvd</t>
  </si>
  <si>
    <t>0FB0A894-60E6-E311-A609-080027D10434</t>
  </si>
  <si>
    <t>Retail Sales Manager</t>
  </si>
  <si>
    <t>Packard</t>
  </si>
  <si>
    <t>Jim Packard</t>
  </si>
  <si>
    <t>(661) 555-7577</t>
  </si>
  <si>
    <t>(661) 555-8224</t>
  </si>
  <si>
    <t>jamesp@dx-email.com</t>
  </si>
  <si>
    <t>jamesp_DX_skype</t>
  </si>
  <si>
    <t>3801 Chester Ave</t>
  </si>
  <si>
    <t>Bakersfield</t>
  </si>
  <si>
    <t>10B0A894-60E6-E311-A609-080027D10434</t>
  </si>
  <si>
    <t>Online Sales Manager</t>
  </si>
  <si>
    <t>Hannah</t>
  </si>
  <si>
    <t>Brooklyn</t>
  </si>
  <si>
    <t>Hannah Brookly</t>
  </si>
  <si>
    <t>(805) 555-7247</t>
  </si>
  <si>
    <t>(805) 555-3627</t>
  </si>
  <si>
    <t>hannahb@dx-email.com</t>
  </si>
  <si>
    <t>hannahb_DX_skype</t>
  </si>
  <si>
    <t>536 Marsh Street</t>
  </si>
  <si>
    <t>San Luis Obispo</t>
  </si>
  <si>
    <t>11B0A894-60E6-E311-A609-080027D10434</t>
  </si>
  <si>
    <t>Harvey</t>
  </si>
  <si>
    <t>Mudd</t>
  </si>
  <si>
    <t>Harv Mudd</t>
  </si>
  <si>
    <t>(831) 555-5379</t>
  </si>
  <si>
    <t>(831) 555-3895</t>
  </si>
  <si>
    <t>harveym@dx-email.com</t>
  </si>
  <si>
    <t>harveym_DX_skype</t>
  </si>
  <si>
    <t>351 Pacific St</t>
  </si>
  <si>
    <t>Monterey</t>
  </si>
  <si>
    <t>12B0A894-60E6-E311-A609-080027D10434</t>
  </si>
  <si>
    <t>Clark</t>
  </si>
  <si>
    <t>Clark Morgan</t>
  </si>
  <si>
    <t>(925) 555-3752</t>
  </si>
  <si>
    <t>(925) 555-2525</t>
  </si>
  <si>
    <t>clarkm@dx-email.com</t>
  </si>
  <si>
    <t>clarkm_DX_skype</t>
  </si>
  <si>
    <t>4202 Alhambra Ave</t>
  </si>
  <si>
    <t>Martinez</t>
  </si>
  <si>
    <t>13B0A894-60E6-E311-A609-080027D10434</t>
  </si>
  <si>
    <t>Todd</t>
  </si>
  <si>
    <t>Hoffman</t>
  </si>
  <si>
    <t>Todd Hoffman</t>
  </si>
  <si>
    <t>(925) 555-4728</t>
  </si>
  <si>
    <t>(925) 555-3579</t>
  </si>
  <si>
    <t>toddh@dx-email.com</t>
  </si>
  <si>
    <t>toddh_DX_skype</t>
  </si>
  <si>
    <t>2647 Arroyo Rd</t>
  </si>
  <si>
    <t>Livermore</t>
  </si>
  <si>
    <t>14B0A894-60E6-E311-A609-080027D10434</t>
  </si>
  <si>
    <t>Brad</t>
  </si>
  <si>
    <t>Farkus</t>
  </si>
  <si>
    <t>Brad Farkus</t>
  </si>
  <si>
    <t>(213) 555-2747</t>
  </si>
  <si>
    <t>(213) 555-3626</t>
  </si>
  <si>
    <t>bradf@dx-email.com</t>
  </si>
  <si>
    <t>brad_DX_skype</t>
  </si>
  <si>
    <t>1635 Woods Drive</t>
  </si>
  <si>
    <t>15B0A894-60E6-E311-A609-080027D10434</t>
  </si>
  <si>
    <t>Jennifer</t>
  </si>
  <si>
    <t>Jenny Hobbs</t>
  </si>
  <si>
    <t>(310) 555-0850</t>
  </si>
  <si>
    <t>(310) 555-2668</t>
  </si>
  <si>
    <t>jennyh@dx-email.com</t>
  </si>
  <si>
    <t>jenny_DX_skype</t>
  </si>
  <si>
    <t>205 Chautauqua Boulevard</t>
  </si>
  <si>
    <t>16B0A894-60E6-E311-A609-080027D10434</t>
  </si>
  <si>
    <t>Lou</t>
  </si>
  <si>
    <t>Dallas Lou</t>
  </si>
  <si>
    <t>(213) 555-0835</t>
  </si>
  <si>
    <t>(213) 555-8357</t>
  </si>
  <si>
    <t>dallas@dx-email.com</t>
  </si>
  <si>
    <t>dallas_DX_skype</t>
  </si>
  <si>
    <t>1 Bunker Hill</t>
  </si>
  <si>
    <t>17B0A894-60E6-E311-A609-080027D10434</t>
  </si>
  <si>
    <t>Stu</t>
  </si>
  <si>
    <t>Pizaro</t>
  </si>
  <si>
    <t>Stu Pizaro</t>
  </si>
  <si>
    <t>(213) 555-0988</t>
  </si>
  <si>
    <t>(213) 555-2552</t>
  </si>
  <si>
    <t>stu@dx-email.com</t>
  </si>
  <si>
    <t>stu_DX_skype</t>
  </si>
  <si>
    <t>200 N. Spring St</t>
  </si>
  <si>
    <t>ProductionStart</t>
  </si>
  <si>
    <t>Available</t>
  </si>
  <si>
    <t>CurrentInventory</t>
  </si>
  <si>
    <t>Backorder</t>
  </si>
  <si>
    <t>Manufacturing</t>
  </si>
  <si>
    <t>Cost</t>
  </si>
  <si>
    <t>SalePrice</t>
  </si>
  <si>
    <t>RetailPrice</t>
  </si>
  <si>
    <t>2BB0A894-60E6-E311-A609-080027D10434</t>
  </si>
  <si>
    <t>HD Video Player</t>
  </si>
  <si>
    <t>2CB0A894-60E6-E311-A609-080027D10434</t>
  </si>
  <si>
    <t>SuperHD Video Player</t>
  </si>
  <si>
    <t>2DB0A894-60E6-E311-A609-080027D10434</t>
  </si>
  <si>
    <t>SuperPlasma 50</t>
  </si>
  <si>
    <t>2EB0A894-60E6-E311-A609-080027D10434</t>
  </si>
  <si>
    <t>SuperLED 50</t>
  </si>
  <si>
    <t>2FB0A894-60E6-E311-A609-080027D10434</t>
  </si>
  <si>
    <t>SuperLED 42</t>
  </si>
  <si>
    <t>30B0A894-60E6-E311-A609-080027D10434</t>
  </si>
  <si>
    <t>SuperLCD 55</t>
  </si>
  <si>
    <t>31B0A894-60E6-E311-A609-080027D10434</t>
  </si>
  <si>
    <t>SuperLCD 42</t>
  </si>
  <si>
    <t>32B0A894-60E6-E311-A609-080027D10434</t>
  </si>
  <si>
    <t>SuperPlasma 65</t>
  </si>
  <si>
    <t>33B0A894-60E6-E311-A609-080027D10434</t>
  </si>
  <si>
    <t>SuperLCD 70</t>
  </si>
  <si>
    <t>34B0A894-60E6-E311-A609-080027D10434</t>
  </si>
  <si>
    <t>DesktopLED 21</t>
  </si>
  <si>
    <t>35B0A894-60E6-E311-A609-080027D10434</t>
  </si>
  <si>
    <t>DesktopLED 19</t>
  </si>
  <si>
    <t>36B0A894-60E6-E311-A609-080027D10434</t>
  </si>
  <si>
    <t>DesktopLCD 21</t>
  </si>
  <si>
    <t>37B0A894-60E6-E311-A609-080027D10434</t>
  </si>
  <si>
    <t>DesktopLCD 19</t>
  </si>
  <si>
    <t>38B0A894-60E6-E311-A609-080027D10434</t>
  </si>
  <si>
    <t>Projector Plus</t>
  </si>
  <si>
    <t>39B0A894-60E6-E311-A609-080027D10434</t>
  </si>
  <si>
    <t>Projector PlusHD</t>
  </si>
  <si>
    <t>3AB0A894-60E6-E311-A609-080027D10434</t>
  </si>
  <si>
    <t>Projector PlusHT</t>
  </si>
  <si>
    <t>3BB0A894-60E6-E311-A609-080027D10434</t>
  </si>
  <si>
    <t>ExcelRemote IR</t>
  </si>
  <si>
    <t>3CB0A894-60E6-E311-A609-080027D10434</t>
  </si>
  <si>
    <t>ExcelRemote Bluetooth</t>
  </si>
  <si>
    <t>3DB0A894-60E6-E311-A609-080027D10434</t>
  </si>
  <si>
    <t>ExcelRemote IP</t>
  </si>
  <si>
    <t>INVOICE #</t>
  </si>
  <si>
    <t>BILLING ADDRESS</t>
  </si>
  <si>
    <t>SHIPPING ADDRESS</t>
  </si>
  <si>
    <t>CA</t>
  </si>
  <si>
    <t>AR</t>
  </si>
  <si>
    <t>CustomerId</t>
  </si>
  <si>
    <t>52B0A894-60E6-E311-A609-080027D10434</t>
  </si>
  <si>
    <t>634 S Spring St</t>
  </si>
  <si>
    <t>53B0A894-60E6-E311-A609-080027D10434</t>
  </si>
  <si>
    <t>1120 S Anaheim Blvd</t>
  </si>
  <si>
    <t>Anaheim</t>
  </si>
  <si>
    <t>54B0A894-60E6-E311-A609-080027D10434</t>
  </si>
  <si>
    <t>2121 Imperial Ave</t>
  </si>
  <si>
    <t>San Diego</t>
  </si>
  <si>
    <t>55B0A894-60E6-E311-A609-080027D10434</t>
  </si>
  <si>
    <t>777 Story Rd</t>
  </si>
  <si>
    <t>San Jose</t>
  </si>
  <si>
    <t>56B0A894-60E6-E311-A609-080027D10434</t>
  </si>
  <si>
    <t>1400 S Lamb Blvd</t>
  </si>
  <si>
    <t>Las Vegas</t>
  </si>
  <si>
    <t>57B0A894-60E6-E311-A609-080027D10434</t>
  </si>
  <si>
    <t>2425 E 2Nd St</t>
  </si>
  <si>
    <t>Reno</t>
  </si>
  <si>
    <t>58B0A894-60E6-E311-A609-080027D10434</t>
  </si>
  <si>
    <t>2770 W Evans Ave</t>
  </si>
  <si>
    <t>Denver</t>
  </si>
  <si>
    <t>59B0A894-60E6-E311-A609-080027D10434</t>
  </si>
  <si>
    <t>4255 Cy Ave</t>
  </si>
  <si>
    <t>Casper</t>
  </si>
  <si>
    <t>5AB0A894-60E6-E311-A609-080027D10434</t>
  </si>
  <si>
    <t>350 Hope Ave</t>
  </si>
  <si>
    <t>Salt Lake City</t>
  </si>
  <si>
    <t>5BB0A894-60E6-E311-A609-080027D10434</t>
  </si>
  <si>
    <t>1607 W Bethany Home Rd</t>
  </si>
  <si>
    <t>Phoenix</t>
  </si>
  <si>
    <t>5CB0A894-60E6-E311-A609-080027D10434</t>
  </si>
  <si>
    <t>2701 Utah Ave South</t>
  </si>
  <si>
    <t>5DB0A894-60E6-E311-A609-080027D10434</t>
  </si>
  <si>
    <t>9116 N Newport Hwy</t>
  </si>
  <si>
    <t>Spokane</t>
  </si>
  <si>
    <t>5EB0A894-60E6-E311-A609-080027D10434</t>
  </si>
  <si>
    <t>10120 SE Washington St</t>
  </si>
  <si>
    <t>Portland</t>
  </si>
  <si>
    <t>5FB0A894-60E6-E311-A609-080027D10434</t>
  </si>
  <si>
    <t>1045 Green Acres Rd</t>
  </si>
  <si>
    <t>Eugene</t>
  </si>
  <si>
    <t>60B0A894-60E6-E311-A609-080027D10434</t>
  </si>
  <si>
    <t>5859 Antelope Rd</t>
  </si>
  <si>
    <t>Sacramento</t>
  </si>
  <si>
    <t>61B0A894-60E6-E311-A609-080027D10434</t>
  </si>
  <si>
    <t>3555 Sports Arena Blvd</t>
  </si>
  <si>
    <t>62B0A894-60E6-E311-A609-080027D10434</t>
  </si>
  <si>
    <t>800 N Brookhurst St</t>
  </si>
  <si>
    <t>63B0A894-60E6-E311-A609-080027D10434</t>
  </si>
  <si>
    <t>1401 S Lamb Blvd</t>
  </si>
  <si>
    <t>64B0A894-60E6-E311-A609-080027D10434</t>
  </si>
  <si>
    <t>1001 Steamboat Pkwy</t>
  </si>
  <si>
    <t>65B0A894-60E6-E311-A609-080027D10434</t>
  </si>
  <si>
    <t>3639 E Federal Way</t>
  </si>
  <si>
    <t>Boise</t>
  </si>
  <si>
    <t>66B0A894-60E6-E311-A609-080027D10434</t>
  </si>
  <si>
    <t>450 N Capital Ave</t>
  </si>
  <si>
    <t>67B0A894-60E6-E311-A609-080027D10434</t>
  </si>
  <si>
    <t>5600 Whittier Blvd</t>
  </si>
  <si>
    <t>68B0A894-60E6-E311-A609-080027D10434</t>
  </si>
  <si>
    <t>4734 E Ray Rd</t>
  </si>
  <si>
    <t>69B0A894-60E6-E311-A609-080027D10434</t>
  </si>
  <si>
    <t>5255 E Broadway Blvd</t>
  </si>
  <si>
    <t>Tucson</t>
  </si>
  <si>
    <t>6AB0A894-60E6-E311-A609-080027D10434</t>
  </si>
  <si>
    <t>4100 Blue Diamond Rd</t>
  </si>
  <si>
    <t>6BB0A894-60E6-E311-A609-080027D10434</t>
  </si>
  <si>
    <t>6845 Sierra Center Pkwy</t>
  </si>
  <si>
    <t>6CB0A894-60E6-E311-A609-080027D10434</t>
  </si>
  <si>
    <t>7025 Park Centre Dr</t>
  </si>
  <si>
    <t>6DB0A894-60E6-E311-A609-080027D10434</t>
  </si>
  <si>
    <t>7930 Northfield Blvd</t>
  </si>
  <si>
    <t>6EB0A894-60E6-E311-A609-080027D10434</t>
  </si>
  <si>
    <t>633 N Milwaukee St</t>
  </si>
  <si>
    <t>6FB0A894-60E6-E311-A609-080027D10434</t>
  </si>
  <si>
    <t>1401 2nd Ave</t>
  </si>
  <si>
    <t>70B0A894-60E6-E311-A609-080027D10434</t>
  </si>
  <si>
    <t>7981 East Stockton Boulevard</t>
  </si>
  <si>
    <t>71B0A894-60E6-E311-A609-080027D10434</t>
  </si>
  <si>
    <t>2345 Fenton Pkwy</t>
  </si>
  <si>
    <t>72B0A894-60E6-E311-A609-080027D10434</t>
  </si>
  <si>
    <t>4849 NE 138th Ave</t>
  </si>
  <si>
    <t>73B0A894-60E6-E311-A609-080027D10434</t>
  </si>
  <si>
    <t>1818 South 300 West</t>
  </si>
  <si>
    <t>74B0A894-60E6-E311-A609-080027D10434</t>
  </si>
  <si>
    <t>2625 East 2nd Street</t>
  </si>
  <si>
    <t>75B0A894-60E6-E311-A609-080027D10434</t>
  </si>
  <si>
    <t>8750 N Union Blvd</t>
  </si>
  <si>
    <t>Colorado Springs</t>
  </si>
  <si>
    <t>76B0A894-60E6-E311-A609-080027D10434</t>
  </si>
  <si>
    <t>323 S. Broadway</t>
  </si>
  <si>
    <t>77B0A894-60E6-E311-A609-080027D10434</t>
  </si>
  <si>
    <t>270 West Lincoln Ave</t>
  </si>
  <si>
    <t>78B0A894-60E6-E311-A609-080027D10434</t>
  </si>
  <si>
    <t>825 E. University</t>
  </si>
  <si>
    <t>79B0A894-60E6-E311-A609-080027D10434</t>
  </si>
  <si>
    <t>50 West Jefferson St</t>
  </si>
  <si>
    <t>7AB0A894-60E6-E311-A609-080027D10434</t>
  </si>
  <si>
    <t>201 North Los Angeles St</t>
  </si>
  <si>
    <t>7BB0A894-60E6-E311-A609-080027D10434</t>
  </si>
  <si>
    <t>821 The Alameda</t>
  </si>
  <si>
    <t>7CB0A894-60E6-E311-A609-080027D10434</t>
  </si>
  <si>
    <t>1701 K St</t>
  </si>
  <si>
    <t>7DB0A894-60E6-E311-A609-080027D10434</t>
  </si>
  <si>
    <t>7105 Central Ave NE</t>
  </si>
  <si>
    <t>Albuquerque</t>
  </si>
  <si>
    <t>7EB0A894-60E6-E311-A609-080027D10434</t>
  </si>
  <si>
    <t>1425 West Lake Mead</t>
  </si>
  <si>
    <t>7FB0A894-60E6-E311-A609-080027D10434</t>
  </si>
  <si>
    <t>75 Pringle Way</t>
  </si>
  <si>
    <t>80B0A894-60E6-E311-A609-080027D10434</t>
  </si>
  <si>
    <t>71 Horton Plaza</t>
  </si>
  <si>
    <t>81B0A894-60E6-E311-A609-080027D10434</t>
  </si>
  <si>
    <t>3707 N. Main St.</t>
  </si>
  <si>
    <t>Vancouver</t>
  </si>
  <si>
    <t>82B0A894-60E6-E311-A609-080027D10434</t>
  </si>
  <si>
    <t>1410 E. John St.</t>
  </si>
  <si>
    <t>83B0A894-60E6-E311-A609-080027D10434</t>
  </si>
  <si>
    <t>E. 933 Mission Ave</t>
  </si>
  <si>
    <t>84B0A894-60E6-E311-A609-080027D10434</t>
  </si>
  <si>
    <t>300 E. Wyoming Blvd</t>
  </si>
  <si>
    <t>85B0A894-60E6-E311-A609-080027D10434</t>
  </si>
  <si>
    <t>130 W. Lincoln</t>
  </si>
  <si>
    <t>86B0A894-60E6-E311-A609-080027D10434</t>
  </si>
  <si>
    <t>1303 Nw Lovejoy</t>
  </si>
  <si>
    <t>87B0A894-60E6-E311-A609-080027D10434</t>
  </si>
  <si>
    <t>145 E. 18Th St.</t>
  </si>
  <si>
    <t>88B0A894-60E6-E311-A609-080027D10434</t>
  </si>
  <si>
    <t>1814 19Th St.</t>
  </si>
  <si>
    <t>89B0A894-60E6-E311-A609-080027D10434</t>
  </si>
  <si>
    <t>100 S. 2Nd St.</t>
  </si>
  <si>
    <t>8AB0A894-60E6-E311-A609-080027D10434</t>
  </si>
  <si>
    <t>1342 N. Alvarado</t>
  </si>
  <si>
    <t>8BB0A894-60E6-E311-A609-080027D10434</t>
  </si>
  <si>
    <t>1331 Speer Blvd</t>
  </si>
  <si>
    <t>8CB0A894-60E6-E311-A609-080027D10434</t>
  </si>
  <si>
    <t>1750 W Uintah St</t>
  </si>
  <si>
    <t>8DB0A894-60E6-E311-A609-080027D10434</t>
  </si>
  <si>
    <t>5230 W Franklin Rd</t>
  </si>
  <si>
    <t>8EB0A894-60E6-E311-A609-080027D10434</t>
  </si>
  <si>
    <t>300 Lomas Blvd Nortth East</t>
  </si>
  <si>
    <t>8FB0A894-60E6-E311-A609-080027D10434</t>
  </si>
  <si>
    <t>2540 S Maryland Pkwy</t>
  </si>
  <si>
    <t>90B0A894-60E6-E311-A609-080027D10434</t>
  </si>
  <si>
    <t>555 E Grant Rd</t>
  </si>
  <si>
    <t>91B0A894-60E6-E311-A609-080027D10434</t>
  </si>
  <si>
    <t>100 Nw 20th Pl</t>
  </si>
  <si>
    <t>92B0A894-60E6-E311-A609-080027D10434</t>
  </si>
  <si>
    <t>1401 Broadway</t>
  </si>
  <si>
    <t>93B0A894-60E6-E311-A609-080027D10434</t>
  </si>
  <si>
    <t>933 N Center St</t>
  </si>
  <si>
    <t>94B0A894-60E6-E311-A609-080027D10434</t>
  </si>
  <si>
    <t>95B0A894-60E6-E311-A609-080027D10434</t>
  </si>
  <si>
    <t>455 S 500 E</t>
  </si>
  <si>
    <t>96B0A894-60E6-E311-A609-080027D10434</t>
  </si>
  <si>
    <t>3036 E Thomas Rd</t>
  </si>
  <si>
    <t>97B0A894-60E6-E311-A609-080027D10434</t>
  </si>
  <si>
    <t>4750 N Division</t>
  </si>
  <si>
    <t>98B0A894-60E6-E311-A609-080027D10434</t>
  </si>
  <si>
    <t>626 16th St</t>
  </si>
  <si>
    <t>99B0A894-60E6-E311-A609-080027D10434</t>
  </si>
  <si>
    <t>675 6th Ave</t>
  </si>
  <si>
    <t>9AB0A894-60E6-E311-A609-080027D10434</t>
  </si>
  <si>
    <t>513 S Western Ave</t>
  </si>
  <si>
    <t>9BB0A894-60E6-E311-A609-080027D10434</t>
  </si>
  <si>
    <t>2253 Lincoln Ave</t>
  </si>
  <si>
    <t>9CB0A894-60E6-E311-A609-080027D10434</t>
  </si>
  <si>
    <t>2125 Del Paso Blvd</t>
  </si>
  <si>
    <t>9DB0A894-60E6-E311-A609-080027D10434</t>
  </si>
  <si>
    <t>4705 W State St</t>
  </si>
  <si>
    <t>9EB0A894-60E6-E311-A609-080027D10434</t>
  </si>
  <si>
    <t>612 E 400 S</t>
  </si>
  <si>
    <t>9FB0A894-60E6-E311-A609-080027D10434</t>
  </si>
  <si>
    <t>2424 N Division St</t>
  </si>
  <si>
    <t>A0B0A894-60E6-E311-A609-080027D10434</t>
  </si>
  <si>
    <t>2100 E 2nd St</t>
  </si>
  <si>
    <t>A1B0A894-60E6-E311-A609-080027D10434</t>
  </si>
  <si>
    <t>261 W 2100</t>
  </si>
  <si>
    <t>A2B0A894-60E6-E311-A609-080027D10434</t>
  </si>
  <si>
    <t>9477 SW Washington Square Rd</t>
  </si>
  <si>
    <t>A3B0A894-60E6-E311-A609-080027D10434</t>
  </si>
  <si>
    <t>534 NE Northgate Way</t>
  </si>
  <si>
    <t>A4B0A894-60E6-E311-A609-080027D10434</t>
  </si>
  <si>
    <t>5311 S Calle Santa Cruz</t>
  </si>
  <si>
    <t>A5B0A894-60E6-E311-A609-080027D10434</t>
  </si>
  <si>
    <t>2050 N Rainbow Blvd</t>
  </si>
  <si>
    <t>A6B0A894-60E6-E311-A609-080027D10434</t>
  </si>
  <si>
    <t>5575 S Virginia St</t>
  </si>
  <si>
    <t>A7B0A894-60E6-E311-A609-080027D10434</t>
  </si>
  <si>
    <t>55 Hotel Cir NE</t>
  </si>
  <si>
    <t>A8B0A894-60E6-E311-A609-080027D10434</t>
  </si>
  <si>
    <t>8363 W Franklin Rd</t>
  </si>
  <si>
    <t>A9B0A894-60E6-E311-A609-080027D10434</t>
  </si>
  <si>
    <t>3150 New Center Point</t>
  </si>
  <si>
    <t>AAB0A894-60E6-E311-A609-080027D10434</t>
  </si>
  <si>
    <t>1949 E Camelback Rd</t>
  </si>
  <si>
    <t>ABB0A894-60E6-E311-A609-080027D10434</t>
  </si>
  <si>
    <t>8985 Venice Boulevard</t>
  </si>
  <si>
    <t>ACB0A894-60E6-E311-A609-080027D10434</t>
  </si>
  <si>
    <t>930 North West 14th Avenue</t>
  </si>
  <si>
    <t>ADB0A894-60E6-E311-A609-080027D10434</t>
  </si>
  <si>
    <t>7601 B North East Vancouver Plaza</t>
  </si>
  <si>
    <t>AEB0A894-60E6-E311-A609-080027D10434</t>
  </si>
  <si>
    <t>2171 Monterey Highway</t>
  </si>
  <si>
    <t>AFB0A894-60E6-E311-A609-080027D10434</t>
  </si>
  <si>
    <t>2509 South Broadway</t>
  </si>
  <si>
    <t>B0B0A894-60E6-E311-A609-080027D10434</t>
  </si>
  <si>
    <t>6013 South Virginia Street</t>
  </si>
  <si>
    <t>B1B0A894-60E6-E311-A609-080027D10434</t>
  </si>
  <si>
    <t>40 Hotel Circle NE</t>
  </si>
  <si>
    <t>B2B0A894-60E6-E311-A609-080027D10434</t>
  </si>
  <si>
    <t>1707 J Street</t>
  </si>
  <si>
    <t>B3B0A894-60E6-E311-A609-080027D10434</t>
  </si>
  <si>
    <t>928 West Camelback Road</t>
  </si>
  <si>
    <t>B4B0A894-60E6-E311-A609-080027D10434</t>
  </si>
  <si>
    <t>2860 Willamette Street</t>
  </si>
  <si>
    <t>B5B0A894-60E6-E311-A609-080027D10434</t>
  </si>
  <si>
    <t>921 South Brookhurst Street</t>
  </si>
  <si>
    <t>B6B0A894-60E6-E311-A609-080027D10434</t>
  </si>
  <si>
    <t>5217 California Avenue SW</t>
  </si>
  <si>
    <t>B7B0A894-60E6-E311-A609-080027D10434</t>
  </si>
  <si>
    <t>57 West 29th Avenue</t>
  </si>
  <si>
    <t>B8B0A894-60E6-E311-A609-080027D10434</t>
  </si>
  <si>
    <t>2800 NE 162nd Avenue</t>
  </si>
  <si>
    <t>B9B0A894-60E6-E311-A609-080027D10434</t>
  </si>
  <si>
    <t>2419 Del Paso Boulevard</t>
  </si>
  <si>
    <t>BAB0A894-60E6-E311-A609-080027D10434</t>
  </si>
  <si>
    <t>3055 McKee Road</t>
  </si>
  <si>
    <t>BBB0A894-60E6-E311-A609-080027D10434</t>
  </si>
  <si>
    <t>750 16th Street</t>
  </si>
  <si>
    <t>BCB0A894-60E6-E311-A609-080027D10434</t>
  </si>
  <si>
    <t>1100 Vista Avenue</t>
  </si>
  <si>
    <t>BDB0A894-60E6-E311-A609-080027D10434</t>
  </si>
  <si>
    <t>836 Orange Avenue</t>
  </si>
  <si>
    <t>BEB0A894-60E6-E311-A609-080027D10434</t>
  </si>
  <si>
    <t>220 South 7th East</t>
  </si>
  <si>
    <t>BFB0A894-60E6-E311-A609-080027D10434</t>
  </si>
  <si>
    <t>810 East 29th Avenue</t>
  </si>
  <si>
    <t>C0B0A894-60E6-E311-A609-080027D10434</t>
  </si>
  <si>
    <t>7751 N El Capitan Way</t>
  </si>
  <si>
    <t>C1B0A894-60E6-E311-A609-080027D10434</t>
  </si>
  <si>
    <t>1335 South 300 West</t>
  </si>
  <si>
    <t>C2B0A894-60E6-E311-A609-080027D10434</t>
  </si>
  <si>
    <t>1800 West Valencia Road</t>
  </si>
  <si>
    <t>C3B0A894-60E6-E311-A609-080027D10434</t>
  </si>
  <si>
    <t>1620 North 75th Avenue</t>
  </si>
  <si>
    <t>C4B0A894-60E6-E311-A609-080027D10434</t>
  </si>
  <si>
    <t>4550 West Pico Boulevard</t>
  </si>
  <si>
    <t>C5B0A894-60E6-E311-A609-080027D10434</t>
  </si>
  <si>
    <t>2318 Northside Drive</t>
  </si>
  <si>
    <t>C6B0A894-60E6-E311-A609-080027D10434</t>
  </si>
  <si>
    <t>701 North Academy Boulevard</t>
  </si>
  <si>
    <t>C7B0A894-60E6-E311-A609-080027D10434</t>
  </si>
  <si>
    <t>7990 West Overland Road</t>
  </si>
  <si>
    <t>C8B0A894-60E6-E311-A609-080027D10434</t>
  </si>
  <si>
    <t>3010 Juan Tabo Boulevard N.E.</t>
  </si>
  <si>
    <t>C9B0A894-60E6-E311-A609-080027D10434</t>
  </si>
  <si>
    <t>6671 Las Vegas Blvd</t>
  </si>
  <si>
    <t>CAB0A894-60E6-E311-A609-080027D10434</t>
  </si>
  <si>
    <t>13925 S. Virginia Street</t>
  </si>
  <si>
    <t>CBB0A894-60E6-E311-A609-080027D10434</t>
  </si>
  <si>
    <t>700 Southwest 5th Avenue</t>
  </si>
  <si>
    <t>CCB0A894-60E6-E311-A609-080027D10434</t>
  </si>
  <si>
    <t>2656 NE University Village Street</t>
  </si>
  <si>
    <t>CDB0A894-60E6-E311-A609-080027D10434</t>
  </si>
  <si>
    <t>710 West Main Avenue</t>
  </si>
  <si>
    <t>CEB0A894-60E6-E311-A609-080027D10434</t>
  </si>
  <si>
    <t>1685 Briargate Parkway</t>
  </si>
  <si>
    <t>CFB0A894-60E6-E311-A609-080027D10434</t>
  </si>
  <si>
    <t>3000 E 1st Avenue</t>
  </si>
  <si>
    <t>D0B0A894-60E6-E311-A609-080027D10434</t>
  </si>
  <si>
    <t>50 South Main Street</t>
  </si>
  <si>
    <t>D1B0A894-60E6-E311-A609-080027D10434</t>
  </si>
  <si>
    <t>2905 East Skyline Drive</t>
  </si>
  <si>
    <t>D2B0A894-60E6-E311-A609-080027D10434</t>
  </si>
  <si>
    <t>2502 East Camelback Road</t>
  </si>
  <si>
    <t>D3B0A894-60E6-E311-A609-080027D10434</t>
  </si>
  <si>
    <t>2035 Hillhurst Ave</t>
  </si>
  <si>
    <t>D4B0A894-60E6-E311-A609-080027D10434</t>
  </si>
  <si>
    <t>150 B Avenue</t>
  </si>
  <si>
    <t>D5B0A894-60E6-E311-A609-080027D10434</t>
  </si>
  <si>
    <t>1520 North Cole Road</t>
  </si>
  <si>
    <t>D6B0A894-60E6-E311-A609-080027D10434</t>
  </si>
  <si>
    <t>2801 A Eubank Blvd NE</t>
  </si>
  <si>
    <t>D7B0A894-60E6-E311-A609-080027D10434</t>
  </si>
  <si>
    <t>8410 Farm Road</t>
  </si>
  <si>
    <t>D8B0A894-60E6-E311-A609-080027D10434</t>
  </si>
  <si>
    <t>3075 Hilyard Street</t>
  </si>
  <si>
    <t>D9B0A894-60E6-E311-A609-080027D10434</t>
  </si>
  <si>
    <t>5415 Sw Beaverton Hwy</t>
  </si>
  <si>
    <t>DAB0A894-60E6-E311-A609-080027D10434</t>
  </si>
  <si>
    <t>2828 Chad Drive</t>
  </si>
  <si>
    <t>DBB0A894-60E6-E311-A609-080027D10434</t>
  </si>
  <si>
    <t>6720 NE 84th Street</t>
  </si>
  <si>
    <t>DCB0A894-60E6-E311-A609-080027D10434</t>
  </si>
  <si>
    <t>5050 N Nevada Ave</t>
  </si>
  <si>
    <t>DDB0A894-60E6-E311-A609-080027D10434</t>
  </si>
  <si>
    <t>500 Eubank Blvd SE</t>
  </si>
  <si>
    <t>DEB0A894-60E6-E311-A609-080027D10434</t>
  </si>
  <si>
    <t>4570 E Cactus Rd</t>
  </si>
  <si>
    <t>DFB0A894-60E6-E311-A609-080027D10434</t>
  </si>
  <si>
    <t>2901 Los Feliz Boulevard</t>
  </si>
  <si>
    <t>E0B0A894-60E6-E311-A609-080027D10434</t>
  </si>
  <si>
    <t>9955 Coors Bypass NW</t>
  </si>
  <si>
    <t>E1B0A894-60E6-E311-A609-080027D10434</t>
  </si>
  <si>
    <t>363 S Broadway</t>
  </si>
  <si>
    <t>E2B0A894-60E6-E311-A609-080027D10434</t>
  </si>
  <si>
    <t>5405 University Ave</t>
  </si>
  <si>
    <t>E3B0A894-60E6-E311-A609-080027D10434</t>
  </si>
  <si>
    <t>2222 E Lincoln Ave</t>
  </si>
  <si>
    <t>E4B0A894-60E6-E311-A609-080027D10434</t>
  </si>
  <si>
    <t>5100 Stockton Blvd</t>
  </si>
  <si>
    <t>E5B0A894-60E6-E311-A609-080027D10434</t>
  </si>
  <si>
    <t>3020 N Nevada ST</t>
  </si>
  <si>
    <t>E6B0A894-60E6-E311-A609-080027D10434</t>
  </si>
  <si>
    <t>1770 W 4100 S</t>
  </si>
  <si>
    <t>E7B0A894-60E6-E311-A609-080027D10434</t>
  </si>
  <si>
    <t>7055 East Broadway</t>
  </si>
  <si>
    <t>E8B0A894-60E6-E311-A609-080027D10434</t>
  </si>
  <si>
    <t>2526 W Northern Ave</t>
  </si>
  <si>
    <t>E9B0A894-60E6-E311-A609-080027D10434</t>
  </si>
  <si>
    <t>12350 Ne Sandy Blvd</t>
  </si>
  <si>
    <t>EAB0A894-60E6-E311-A609-080027D10434</t>
  </si>
  <si>
    <t>1720 W La Palma Ave</t>
  </si>
  <si>
    <t>EBB0A894-60E6-E311-A609-080027D10434</t>
  </si>
  <si>
    <t>3501 Lomas Blvd NE</t>
  </si>
  <si>
    <t>ECB0A894-60E6-E311-A609-080027D10434</t>
  </si>
  <si>
    <t>625 N 19TH St</t>
  </si>
  <si>
    <t>EDB0A894-60E6-E311-A609-080027D10434</t>
  </si>
  <si>
    <t>1671 E Main St</t>
  </si>
  <si>
    <t>EEB0A894-60E6-E311-A609-080027D10434</t>
  </si>
  <si>
    <t>1071 Cy Ave</t>
  </si>
  <si>
    <t>EFB0A894-60E6-E311-A609-080027D10434</t>
  </si>
  <si>
    <t>3555 Coloradi Blvd</t>
  </si>
  <si>
    <t>F0B0A894-60E6-E311-A609-080027D10434</t>
  </si>
  <si>
    <t>400 E. 5Th Ave</t>
  </si>
  <si>
    <t>F1B0A894-60E6-E311-A609-080027D10434</t>
  </si>
  <si>
    <t>6330 35th Ave SW</t>
  </si>
  <si>
    <t>F2B0A894-60E6-E311-A609-080027D10434</t>
  </si>
  <si>
    <t>6708 NE 63RD ST</t>
  </si>
  <si>
    <t>F3B0A894-60E6-E311-A609-080027D10434</t>
  </si>
  <si>
    <t>3910 E 22nd St</t>
  </si>
  <si>
    <t>F4B0A894-60E6-E311-A609-080027D10434</t>
  </si>
  <si>
    <t>3312 University</t>
  </si>
  <si>
    <t>F5B0A894-60E6-E311-A609-080027D10434</t>
  </si>
  <si>
    <t>4494 N Rancho Dr</t>
  </si>
  <si>
    <t>F6B0A894-60E6-E311-A609-080027D10434</t>
  </si>
  <si>
    <t>4015 N 16th St</t>
  </si>
  <si>
    <t>F7B0A894-60E6-E311-A609-080027D10434</t>
  </si>
  <si>
    <t>5211 Ouray Rd NW</t>
  </si>
  <si>
    <t>F8B0A894-60E6-E311-A609-080027D10434</t>
  </si>
  <si>
    <t>750 W 7th St</t>
  </si>
  <si>
    <t>F9B0A894-60E6-E311-A609-080027D10434</t>
  </si>
  <si>
    <t>680 S State St</t>
  </si>
  <si>
    <t>FAB0A894-60E6-E311-A609-080027D10434</t>
  </si>
  <si>
    <t>919 S W 5th Ave</t>
  </si>
  <si>
    <t>FBB0A894-60E6-E311-A609-080027D10434</t>
  </si>
  <si>
    <t>2030 E Lincoln Ave</t>
  </si>
  <si>
    <t>FCB0A894-60E6-E311-A609-080027D10434</t>
  </si>
  <si>
    <t>1100 Lucretia Ave</t>
  </si>
  <si>
    <t>FDB0A894-60E6-E311-A609-080027D10434</t>
  </si>
  <si>
    <t>101 G St</t>
  </si>
  <si>
    <t>FEB0A894-60E6-E311-A609-080027D10434</t>
  </si>
  <si>
    <t>3625 Northgate Blvd</t>
  </si>
  <si>
    <t>FFB0A894-60E6-E311-A609-080027D10434</t>
  </si>
  <si>
    <t>2990 Mill St</t>
  </si>
  <si>
    <t>00B1A894-60E6-E311-A609-080027D10434</t>
  </si>
  <si>
    <t>226 Valley River Ctr</t>
  </si>
  <si>
    <t>01B1A894-60E6-E311-A609-080027D10434</t>
  </si>
  <si>
    <t>400 S Thor St</t>
  </si>
  <si>
    <t>02B1A894-60E6-E311-A609-080027D10434</t>
  </si>
  <si>
    <t>2500 Columbia House Blvd</t>
  </si>
  <si>
    <t>03B1A894-60E6-E311-A609-080027D10434</t>
  </si>
  <si>
    <t>402 6th Ave</t>
  </si>
  <si>
    <t>04B1A894-60E6-E311-A609-080027D10434</t>
  </si>
  <si>
    <t>1700 W 6th St</t>
  </si>
  <si>
    <t>05B1A894-60E6-E311-A609-080027D10434</t>
  </si>
  <si>
    <t>1689 Arden Way</t>
  </si>
  <si>
    <t>06B1A894-60E6-E311-A609-080027D10434</t>
  </si>
  <si>
    <t>07B1A894-60E6-E311-A609-080027D10434</t>
  </si>
  <si>
    <t>1195 South Rock Blvd</t>
  </si>
  <si>
    <t>08B1A894-60E6-E311-A609-080027D10434</t>
  </si>
  <si>
    <t>417 Broadway E</t>
  </si>
  <si>
    <t>09B1A894-60E6-E311-A609-080027D10434</t>
  </si>
  <si>
    <t>938 S Poplar St</t>
  </si>
  <si>
    <t>0AB1A894-60E6-E311-A609-080027D10434</t>
  </si>
  <si>
    <t>3640 S 16th Ave</t>
  </si>
  <si>
    <t>0BB1A894-60E6-E311-A609-080027D10434</t>
  </si>
  <si>
    <t>1030 University Ave</t>
  </si>
  <si>
    <t>0CB1A894-60E6-E311-A609-080027D10434</t>
  </si>
  <si>
    <t>3701 Constitution Ave Ne</t>
  </si>
  <si>
    <t>0DB1A894-60E6-E311-A609-080027D10434</t>
  </si>
  <si>
    <t>1061 Lloyd Ctr</t>
  </si>
  <si>
    <t>0EB1A894-60E6-E311-A609-080027D10434</t>
  </si>
  <si>
    <t>7700 Ne Highway 99</t>
  </si>
  <si>
    <t>0FB1A894-60E6-E311-A609-080027D10434</t>
  </si>
  <si>
    <t>2802 E Pikes Peak Av</t>
  </si>
  <si>
    <t>10B1A894-60E6-E311-A609-080027D10434</t>
  </si>
  <si>
    <t>744 W Camelback Rd</t>
  </si>
  <si>
    <t>11B1A894-60E6-E311-A609-080027D10434</t>
  </si>
  <si>
    <t>1093 Minnesota Ave</t>
  </si>
  <si>
    <t>12B1A894-60E6-E311-A609-080027D10434</t>
  </si>
  <si>
    <t>1155 E 9th Ave</t>
  </si>
  <si>
    <t>13B1A894-60E6-E311-A609-080027D10434</t>
  </si>
  <si>
    <t>850 S Rancho Dr</t>
  </si>
  <si>
    <t>14B1A894-60E6-E311-A609-080027D10434</t>
  </si>
  <si>
    <t>3333 W 11th Ave</t>
  </si>
  <si>
    <t>15B1A894-60E6-E311-A609-080027D10434</t>
  </si>
  <si>
    <t>4750 N Division St</t>
  </si>
  <si>
    <t>16B1A894-60E6-E311-A609-080027D10434</t>
  </si>
  <si>
    <t>876 E 800 S</t>
  </si>
  <si>
    <t>17B1A894-60E6-E311-A609-080027D10434</t>
  </si>
  <si>
    <t>3030 Ne Weidler St</t>
  </si>
  <si>
    <t>18B1A894-60E6-E311-A609-080027D10434</t>
  </si>
  <si>
    <t>19B1A894-60E6-E311-A609-080027D10434</t>
  </si>
  <si>
    <t>1105 Leeward Dr</t>
  </si>
  <si>
    <t>NV</t>
  </si>
  <si>
    <t>AZ</t>
  </si>
  <si>
    <t>CO</t>
  </si>
  <si>
    <t>WY</t>
  </si>
  <si>
    <t>WA</t>
  </si>
  <si>
    <t>UT</t>
  </si>
  <si>
    <t>OR</t>
  </si>
  <si>
    <t>NM</t>
  </si>
  <si>
    <t>ID</t>
  </si>
  <si>
    <t>GA</t>
  </si>
  <si>
    <t>MN</t>
  </si>
  <si>
    <t>IL</t>
  </si>
  <si>
    <t>NC</t>
  </si>
  <si>
    <t>PA</t>
  </si>
  <si>
    <t>TX</t>
  </si>
  <si>
    <t>Home Office</t>
  </si>
  <si>
    <t>Sales Rep.</t>
  </si>
  <si>
    <t>PO #</t>
  </si>
  <si>
    <t>Ship Date</t>
  </si>
  <si>
    <t>Ground</t>
  </si>
  <si>
    <t>FOB</t>
  </si>
  <si>
    <t>Terms</t>
  </si>
  <si>
    <t>Total</t>
  </si>
  <si>
    <t>Discount</t>
  </si>
  <si>
    <t>Unit Price</t>
  </si>
  <si>
    <t>Quantity</t>
  </si>
  <si>
    <t>SUB TOTAL</t>
  </si>
  <si>
    <t>SHIPPING</t>
  </si>
  <si>
    <t>TOTAL DUE</t>
  </si>
  <si>
    <t>Description</t>
  </si>
  <si>
    <t>COMMENTS</t>
  </si>
  <si>
    <t>Ship Via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</si>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</sst>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[$$-409]* #,##0.00_ ;_-[$$-409]* \-#,##0.00\ ;_-[$$-409]* &quot;-&quot;??_ ;_-@_ "/>
    <numFmt numFmtId="165" formatCode="@&quot; Store&quot;"/>
    <numFmt numFmtId="166" formatCode=";;;@"/>
    <numFmt numFmtId="167" formatCode="#0&quot; Days&quot;"/>
    <numFmt numFmtId="168" formatCode="_-[$$-409]* #,##0.00_ ;_-[$$-409]* \-#,##0.00\ ;;@\ "/>
  </numFmts>
  <fonts count="4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1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  <charset val="204"/>
    </font>
    <font>
      <sz val="11"/>
      <color theme="1"/>
      <name val="Segoe UI Semilight"/>
      <family val="2"/>
    </font>
    <font>
      <b/>
      <sz val="12"/>
      <color theme="1"/>
      <name val="Segoe UI Semilight"/>
      <family val="2"/>
    </font>
    <font>
      <sz val="11"/>
      <name val="Segoe UI Semilight"/>
      <family val="2"/>
    </font>
    <font>
      <sz val="11"/>
      <color rgb="FFFF0000"/>
      <name val="Segoe UI Semilight"/>
      <family val="2"/>
    </font>
    <font>
      <sz val="12"/>
      <color theme="1"/>
      <name val="Segoe UI Semilight"/>
      <family val="2"/>
    </font>
    <font>
      <sz val="12"/>
      <color theme="1"/>
      <name val="Segoe UI Semibold"/>
      <family val="2"/>
    </font>
    <font>
      <sz val="11"/>
      <color theme="1"/>
      <name val="Segoe UI Semibold"/>
      <family val="2"/>
    </font>
  </fonts>
  <fills count="4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56F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5117038483843"/>
        <bgColor indexed="65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6" tint="0.79995117038483843"/>
        <bgColor indexed="65"/>
      </patternFill>
    </fill>
    <fill>
      <patternFill patternType="solid">
        <fgColor theme="7" tint="0.79995117038483843"/>
        <bgColor indexed="65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9" tint="0.79995117038483843"/>
        <bgColor indexed="65"/>
      </patternFill>
    </fill>
    <fill>
      <patternFill patternType="solid">
        <fgColor theme="4" tint="0.39994506668294322"/>
        <bgColor indexed="65"/>
      </patternFill>
    </fill>
    <fill>
      <patternFill patternType="solid">
        <fgColor theme="5" tint="0.39994506668294322"/>
        <bgColor indexed="65"/>
      </patternFill>
    </fill>
    <fill>
      <patternFill patternType="solid">
        <fgColor theme="6" tint="0.39994506668294322"/>
        <bgColor indexed="65"/>
      </patternFill>
    </fill>
    <fill>
      <patternFill patternType="solid">
        <fgColor theme="7" tint="0.39994506668294322"/>
        <bgColor indexed="65"/>
      </patternFill>
    </fill>
    <fill>
      <patternFill patternType="solid">
        <fgColor theme="8" tint="0.39994506668294322"/>
        <bgColor indexed="65"/>
      </patternFill>
    </fill>
    <fill>
      <patternFill patternType="solid">
        <fgColor theme="9" tint="0.39994506668294322"/>
        <bgColor indexed="65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theme="4" tint="0.3999450666829432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7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1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4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8" fillId="48" borderId="0" applyNumberFormat="0" applyBorder="0" applyAlignment="0" applyProtection="0"/>
    <xf numFmtId="0" fontId="18" fillId="9" borderId="0" applyNumberFormat="0" applyBorder="0" applyAlignment="0" applyProtection="0"/>
    <xf numFmtId="0" fontId="18" fillId="13" borderId="0" applyNumberFormat="0" applyBorder="0" applyAlignment="0" applyProtection="0"/>
    <xf numFmtId="0" fontId="18" fillId="17" borderId="0" applyNumberFormat="0" applyBorder="0" applyAlignment="0" applyProtection="0"/>
    <xf numFmtId="0" fontId="18" fillId="21" borderId="0" applyNumberFormat="0" applyBorder="0" applyAlignment="0" applyProtection="0"/>
    <xf numFmtId="0" fontId="18" fillId="25" borderId="0" applyNumberFormat="0" applyBorder="0" applyAlignment="0" applyProtection="0"/>
    <xf numFmtId="0" fontId="18" fillId="29" borderId="0" applyNumberFormat="0" applyBorder="0" applyAlignment="0" applyProtection="0"/>
    <xf numFmtId="0" fontId="19" fillId="3" borderId="0" applyNumberFormat="0" applyBorder="0" applyAlignment="0" applyProtection="0"/>
    <xf numFmtId="0" fontId="20" fillId="6" borderId="4" applyNumberFormat="0" applyAlignment="0" applyProtection="0"/>
    <xf numFmtId="0" fontId="21" fillId="7" borderId="7" applyNumberFormat="0" applyAlignment="0" applyProtection="0"/>
    <xf numFmtId="0" fontId="22" fillId="0" borderId="0" applyNumberFormat="0" applyFill="0" applyBorder="0" applyAlignment="0" applyProtection="0"/>
    <xf numFmtId="0" fontId="23" fillId="2" borderId="0" applyNumberFormat="0" applyBorder="0" applyAlignment="0" applyProtection="0"/>
    <xf numFmtId="0" fontId="24" fillId="0" borderId="1" applyNumberFormat="0" applyFill="0" applyAlignment="0" applyProtection="0"/>
    <xf numFmtId="0" fontId="25" fillId="0" borderId="2" applyNumberFormat="0" applyFill="0" applyAlignment="0" applyProtection="0"/>
    <xf numFmtId="0" fontId="26" fillId="0" borderId="16" applyNumberFormat="0" applyFill="0" applyAlignment="0" applyProtection="0"/>
    <xf numFmtId="0" fontId="26" fillId="0" borderId="0" applyNumberFormat="0" applyFill="0" applyBorder="0" applyAlignment="0" applyProtection="0"/>
    <xf numFmtId="0" fontId="27" fillId="5" borderId="4" applyNumberFormat="0" applyAlignment="0" applyProtection="0"/>
    <xf numFmtId="0" fontId="28" fillId="0" borderId="6" applyNumberFormat="0" applyFill="0" applyAlignment="0" applyProtection="0"/>
    <xf numFmtId="0" fontId="29" fillId="4" borderId="0" applyNumberFormat="0" applyBorder="0" applyAlignment="0" applyProtection="0"/>
    <xf numFmtId="0" fontId="30" fillId="6" borderId="5" applyNumberFormat="0" applyAlignment="0" applyProtection="0"/>
    <xf numFmtId="0" fontId="31" fillId="0" borderId="0" applyNumberFormat="0" applyFill="0" applyBorder="0" applyAlignment="0" applyProtection="0"/>
    <xf numFmtId="0" fontId="32" fillId="0" borderId="9" applyNumberFormat="0" applyFill="0" applyAlignment="0" applyProtection="0"/>
    <xf numFmtId="0" fontId="33" fillId="0" borderId="0" applyNumberFormat="0" applyFill="0" applyBorder="0" applyAlignment="0" applyProtection="0"/>
  </cellStyleXfs>
  <cellXfs count="81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3" fillId="36" borderId="15" xfId="0" applyFont="1" applyFill="1" applyBorder="1"/>
    <xf numFmtId="0" fontId="0" fillId="0" borderId="0" xfId="0"/>
    <xf numFmtId="0" fontId="35" fillId="35" borderId="0" xfId="0" applyFont="1" applyFill="1"/>
    <xf numFmtId="0" fontId="35" fillId="33" borderId="0" xfId="0" applyFont="1" applyFill="1"/>
    <xf numFmtId="0" fontId="35" fillId="33" borderId="0" xfId="0" applyFont="1" applyFill="1" applyAlignment="1">
      <alignment vertical="center"/>
    </xf>
    <xf numFmtId="0" fontId="35" fillId="33" borderId="20" xfId="0" applyFont="1" applyFill="1" applyBorder="1"/>
    <xf numFmtId="0" fontId="36" fillId="33" borderId="0" xfId="0" applyFont="1" applyFill="1" applyBorder="1"/>
    <xf numFmtId="0" fontId="35" fillId="33" borderId="0" xfId="0" applyFont="1" applyFill="1" applyBorder="1"/>
    <xf numFmtId="0" fontId="35" fillId="33" borderId="21" xfId="0" applyFont="1" applyFill="1" applyBorder="1"/>
    <xf numFmtId="0" fontId="35" fillId="33" borderId="23" xfId="0" applyFont="1" applyFill="1" applyBorder="1" applyAlignment="1">
      <alignment horizontal="left" vertical="center" indent="1"/>
    </xf>
    <xf numFmtId="0" fontId="35" fillId="33" borderId="24" xfId="0" applyFont="1" applyFill="1" applyBorder="1" applyAlignment="1">
      <alignment horizontal="left" vertical="center" indent="1"/>
    </xf>
    <xf numFmtId="0" fontId="35" fillId="33" borderId="0" xfId="0" applyFont="1" applyFill="1" applyAlignment="1">
      <alignment horizontal="left"/>
    </xf>
    <xf numFmtId="0" fontId="35" fillId="33" borderId="10" xfId="0" applyFont="1" applyFill="1" applyBorder="1" applyAlignment="1" applyProtection="1">
      <alignment horizontal="center" vertical="center"/>
      <protection locked="0"/>
    </xf>
    <xf numFmtId="0" fontId="38" fillId="33" borderId="0" xfId="0" quotePrefix="1" applyFont="1" applyFill="1" applyAlignment="1">
      <alignment horizontal="center" vertical="center"/>
    </xf>
    <xf numFmtId="0" fontId="35" fillId="33" borderId="0" xfId="0" applyFont="1" applyFill="1" applyBorder="1" applyAlignment="1">
      <alignment vertical="top" wrapText="1"/>
    </xf>
    <xf numFmtId="14" fontId="40" fillId="33" borderId="0" xfId="0" applyNumberFormat="1" applyFont="1" applyFill="1" applyAlignment="1" applyProtection="1">
      <alignment horizontal="left" vertical="center"/>
      <protection locked="0"/>
    </xf>
    <xf numFmtId="0" fontId="41" fillId="33" borderId="0" xfId="0" applyFont="1" applyFill="1"/>
    <xf numFmtId="0" fontId="40" fillId="33" borderId="0" xfId="0" applyFont="1" applyFill="1"/>
    <xf numFmtId="0" fontId="40" fillId="33" borderId="0" xfId="0" applyFont="1" applyFill="1" applyAlignment="1" applyProtection="1">
      <alignment horizontal="left"/>
      <protection locked="0"/>
    </xf>
    <xf numFmtId="0" fontId="41" fillId="34" borderId="10" xfId="0" applyFont="1" applyFill="1" applyBorder="1" applyAlignment="1">
      <alignment horizontal="center" vertical="center"/>
    </xf>
    <xf numFmtId="49" fontId="35" fillId="33" borderId="20" xfId="0" applyNumberFormat="1" applyFont="1" applyFill="1" applyBorder="1" applyAlignment="1"/>
    <xf numFmtId="49" fontId="38" fillId="33" borderId="20" xfId="0" applyNumberFormat="1" applyFont="1" applyFill="1" applyBorder="1" applyAlignment="1">
      <alignment vertical="center"/>
    </xf>
    <xf numFmtId="49" fontId="37" fillId="33" borderId="20" xfId="0" applyNumberFormat="1" applyFont="1" applyFill="1" applyBorder="1" applyAlignment="1">
      <alignment vertical="center"/>
    </xf>
    <xf numFmtId="0" fontId="40" fillId="34" borderId="12" xfId="0" applyFont="1" applyFill="1" applyBorder="1" applyAlignment="1">
      <alignment horizontal="left" vertical="center" indent="1"/>
    </xf>
    <xf numFmtId="0" fontId="40" fillId="34" borderId="13" xfId="0" applyFont="1" applyFill="1" applyBorder="1" applyAlignment="1">
      <alignment horizontal="left" vertical="center" indent="1"/>
    </xf>
    <xf numFmtId="0" fontId="40" fillId="34" borderId="14" xfId="0" applyFont="1" applyFill="1" applyBorder="1" applyAlignment="1">
      <alignment horizontal="left" vertical="center" indent="1"/>
    </xf>
    <xf numFmtId="166" fontId="40" fillId="33" borderId="17" xfId="0" applyNumberFormat="1" applyFont="1" applyFill="1" applyBorder="1" applyAlignment="1">
      <alignment horizontal="left" vertical="center" indent="1"/>
    </xf>
    <xf numFmtId="166" fontId="40" fillId="33" borderId="18" xfId="0" applyNumberFormat="1" applyFont="1" applyFill="1" applyBorder="1" applyAlignment="1">
      <alignment horizontal="left" vertical="center" indent="1"/>
    </xf>
    <xf numFmtId="166" fontId="40" fillId="33" borderId="19" xfId="0" applyNumberFormat="1" applyFont="1" applyFill="1" applyBorder="1" applyAlignment="1">
      <alignment horizontal="left" vertical="center" indent="1"/>
    </xf>
    <xf numFmtId="164" fontId="35" fillId="33" borderId="10" xfId="0" applyNumberFormat="1" applyFont="1" applyFill="1" applyBorder="1" applyAlignment="1">
      <alignment vertical="center"/>
    </xf>
    <xf numFmtId="0" fontId="41" fillId="34" borderId="10" xfId="0" applyFont="1" applyFill="1" applyBorder="1" applyAlignment="1">
      <alignment horizontal="center" vertical="center"/>
    </xf>
    <xf numFmtId="168" fontId="35" fillId="33" borderId="10" xfId="0" applyNumberFormat="1" applyFont="1" applyFill="1" applyBorder="1" applyAlignment="1" applyProtection="1">
      <alignment horizontal="center" vertical="center"/>
      <protection locked="0"/>
    </xf>
    <xf numFmtId="167" fontId="35" fillId="33" borderId="10" xfId="0" applyNumberFormat="1" applyFont="1" applyFill="1" applyBorder="1" applyAlignment="1" applyProtection="1">
      <alignment horizontal="center" vertical="center"/>
      <protection locked="0"/>
    </xf>
    <xf numFmtId="0" fontId="41" fillId="34" borderId="12" xfId="0" applyFont="1" applyFill="1" applyBorder="1" applyAlignment="1">
      <alignment horizontal="right" vertical="center" indent="1"/>
    </xf>
    <xf numFmtId="0" fontId="41" fillId="34" borderId="13" xfId="0" applyFont="1" applyFill="1" applyBorder="1" applyAlignment="1">
      <alignment horizontal="right" vertical="center" indent="1"/>
    </xf>
    <xf numFmtId="0" fontId="41" fillId="34" borderId="14" xfId="0" applyFont="1" applyFill="1" applyBorder="1" applyAlignment="1">
      <alignment horizontal="right" vertical="center" indent="1"/>
    </xf>
    <xf numFmtId="0" fontId="35" fillId="33" borderId="10" xfId="0" applyFont="1" applyFill="1" applyBorder="1" applyAlignment="1" applyProtection="1">
      <alignment horizontal="center" vertical="center"/>
      <protection locked="0"/>
    </xf>
    <xf numFmtId="0" fontId="40" fillId="33" borderId="17" xfId="0" applyFont="1" applyFill="1" applyBorder="1" applyAlignment="1" applyProtection="1">
      <alignment horizontal="left" vertical="center" indent="1"/>
      <protection locked="0"/>
    </xf>
    <xf numFmtId="0" fontId="40" fillId="33" borderId="18" xfId="0" applyFont="1" applyFill="1" applyBorder="1" applyAlignment="1" applyProtection="1">
      <alignment horizontal="left" vertical="center" indent="1"/>
      <protection locked="0"/>
    </xf>
    <xf numFmtId="0" fontId="40" fillId="33" borderId="19" xfId="0" applyFont="1" applyFill="1" applyBorder="1" applyAlignment="1" applyProtection="1">
      <alignment horizontal="left" vertical="center" indent="1"/>
      <protection locked="0"/>
    </xf>
    <xf numFmtId="164" fontId="35" fillId="33" borderId="10" xfId="0" applyNumberFormat="1" applyFont="1" applyFill="1" applyBorder="1" applyAlignment="1">
      <alignment horizontal="right" vertical="center"/>
    </xf>
    <xf numFmtId="164" fontId="35" fillId="33" borderId="10" xfId="0" applyNumberFormat="1" applyFont="1" applyFill="1" applyBorder="1" applyAlignment="1" applyProtection="1">
      <alignment vertical="center"/>
      <protection locked="0"/>
    </xf>
    <xf numFmtId="0" fontId="35" fillId="33" borderId="22" xfId="0" applyFont="1" applyFill="1" applyBorder="1" applyAlignment="1">
      <alignment horizontal="left" vertical="center" indent="1"/>
    </xf>
    <xf numFmtId="0" fontId="35" fillId="33" borderId="23" xfId="0" applyFont="1" applyFill="1" applyBorder="1" applyAlignment="1">
      <alignment horizontal="left" vertical="center" indent="1"/>
    </xf>
    <xf numFmtId="165" fontId="35" fillId="33" borderId="20" xfId="0" applyNumberFormat="1" applyFont="1" applyFill="1" applyBorder="1" applyAlignment="1" applyProtection="1">
      <alignment horizontal="left" vertical="center" indent="1"/>
      <protection locked="0"/>
    </xf>
    <xf numFmtId="165" fontId="35" fillId="33" borderId="0" xfId="0" applyNumberFormat="1" applyFont="1" applyFill="1" applyBorder="1" applyAlignment="1" applyProtection="1">
      <alignment horizontal="left" vertical="center" indent="1"/>
      <protection locked="0"/>
    </xf>
    <xf numFmtId="165" fontId="35" fillId="33" borderId="21" xfId="0" applyNumberFormat="1" applyFont="1" applyFill="1" applyBorder="1" applyAlignment="1" applyProtection="1">
      <alignment horizontal="left" vertical="center" indent="1"/>
      <protection locked="0"/>
    </xf>
    <xf numFmtId="0" fontId="35" fillId="33" borderId="20" xfId="0" applyFont="1" applyFill="1" applyBorder="1" applyAlignment="1">
      <alignment horizontal="left" vertical="center" indent="1"/>
    </xf>
    <xf numFmtId="0" fontId="35" fillId="33" borderId="0" xfId="0" applyFont="1" applyFill="1" applyBorder="1" applyAlignment="1">
      <alignment horizontal="left" vertical="center" indent="1"/>
    </xf>
    <xf numFmtId="0" fontId="35" fillId="33" borderId="21" xfId="0" applyFont="1" applyFill="1" applyBorder="1" applyAlignment="1">
      <alignment horizontal="left" vertical="center" indent="1"/>
    </xf>
    <xf numFmtId="0" fontId="41" fillId="34" borderId="12" xfId="0" applyFont="1" applyFill="1" applyBorder="1" applyAlignment="1">
      <alignment horizontal="left" vertical="center" indent="1"/>
    </xf>
    <xf numFmtId="0" fontId="41" fillId="34" borderId="13" xfId="0" applyFont="1" applyFill="1" applyBorder="1" applyAlignment="1">
      <alignment horizontal="left" vertical="center" indent="1"/>
    </xf>
    <xf numFmtId="0" fontId="41" fillId="34" borderId="14" xfId="0" applyFont="1" applyFill="1" applyBorder="1" applyAlignment="1">
      <alignment horizontal="left" vertical="center" indent="1"/>
    </xf>
    <xf numFmtId="0" fontId="35" fillId="33" borderId="10" xfId="0" applyFont="1" applyFill="1" applyBorder="1" applyAlignment="1" applyProtection="1">
      <alignment horizontal="left" vertical="center" indent="1"/>
      <protection locked="0"/>
    </xf>
    <xf numFmtId="164" fontId="39" fillId="33" borderId="11" xfId="0" applyNumberFormat="1" applyFont="1" applyFill="1" applyBorder="1" applyAlignment="1">
      <alignment vertical="center"/>
    </xf>
    <xf numFmtId="0" fontId="39" fillId="33" borderId="11" xfId="0" applyFont="1" applyFill="1" applyBorder="1" applyAlignment="1">
      <alignment vertical="center"/>
    </xf>
    <xf numFmtId="164" fontId="39" fillId="33" borderId="10" xfId="0" applyNumberFormat="1" applyFont="1" applyFill="1" applyBorder="1" applyAlignment="1" applyProtection="1">
      <alignment vertical="center"/>
      <protection locked="0"/>
    </xf>
    <xf numFmtId="164" fontId="40" fillId="33" borderId="10" xfId="0" applyNumberFormat="1" applyFont="1" applyFill="1" applyBorder="1" applyAlignment="1">
      <alignment vertical="center"/>
    </xf>
    <xf numFmtId="0" fontId="40" fillId="33" borderId="10" xfId="0" applyFont="1" applyFill="1" applyBorder="1" applyAlignment="1">
      <alignment vertical="center"/>
    </xf>
    <xf numFmtId="0" fontId="39" fillId="34" borderId="12" xfId="0" applyFont="1" applyFill="1" applyBorder="1" applyAlignment="1">
      <alignment horizontal="center" vertical="center"/>
    </xf>
    <xf numFmtId="0" fontId="39" fillId="34" borderId="13" xfId="0" applyFont="1" applyFill="1" applyBorder="1" applyAlignment="1">
      <alignment horizontal="center" vertical="center"/>
    </xf>
    <xf numFmtId="0" fontId="39" fillId="34" borderId="14" xfId="0" applyFont="1" applyFill="1" applyBorder="1" applyAlignment="1">
      <alignment horizontal="center" vertical="center"/>
    </xf>
    <xf numFmtId="0" fontId="40" fillId="34" borderId="12" xfId="0" applyFont="1" applyFill="1" applyBorder="1" applyAlignment="1">
      <alignment horizontal="center" vertical="center"/>
    </xf>
    <xf numFmtId="0" fontId="40" fillId="34" borderId="13" xfId="0" applyFont="1" applyFill="1" applyBorder="1" applyAlignment="1">
      <alignment horizontal="center" vertical="center"/>
    </xf>
    <xf numFmtId="0" fontId="40" fillId="34" borderId="14" xfId="0" applyFont="1" applyFill="1" applyBorder="1" applyAlignment="1">
      <alignment horizontal="center" vertical="center"/>
    </xf>
    <xf numFmtId="49" fontId="35" fillId="33" borderId="18" xfId="0" applyNumberFormat="1" applyFont="1" applyFill="1" applyBorder="1" applyAlignment="1">
      <alignment vertical="center"/>
    </xf>
    <xf numFmtId="49" fontId="35" fillId="33" borderId="19" xfId="0" applyNumberFormat="1" applyFont="1" applyFill="1" applyBorder="1" applyAlignment="1">
      <alignment vertical="center"/>
    </xf>
    <xf numFmtId="0" fontId="35" fillId="33" borderId="24" xfId="0" applyFont="1" applyFill="1" applyBorder="1" applyAlignment="1">
      <alignment horizontal="left" vertical="center" indent="1"/>
    </xf>
    <xf numFmtId="0" fontId="35" fillId="33" borderId="17" xfId="0" applyFont="1" applyFill="1" applyBorder="1" applyAlignment="1" applyProtection="1">
      <alignment horizontal="left" vertical="top" wrapText="1" indent="1"/>
      <protection locked="0"/>
    </xf>
    <xf numFmtId="0" fontId="35" fillId="33" borderId="18" xfId="0" applyFont="1" applyFill="1" applyBorder="1" applyAlignment="1" applyProtection="1">
      <alignment horizontal="left" vertical="top" wrapText="1" indent="1"/>
      <protection locked="0"/>
    </xf>
    <xf numFmtId="0" fontId="35" fillId="33" borderId="19" xfId="0" applyFont="1" applyFill="1" applyBorder="1" applyAlignment="1" applyProtection="1">
      <alignment horizontal="left" vertical="top" wrapText="1" indent="1"/>
      <protection locked="0"/>
    </xf>
    <xf numFmtId="0" fontId="35" fillId="33" borderId="20" xfId="0" applyFont="1" applyFill="1" applyBorder="1" applyAlignment="1" applyProtection="1">
      <alignment horizontal="left" vertical="top" wrapText="1" indent="1"/>
      <protection locked="0"/>
    </xf>
    <xf numFmtId="0" fontId="35" fillId="33" borderId="0" xfId="0" applyFont="1" applyFill="1" applyBorder="1" applyAlignment="1" applyProtection="1">
      <alignment horizontal="left" vertical="top" wrapText="1" indent="1"/>
      <protection locked="0"/>
    </xf>
    <xf numFmtId="0" fontId="35" fillId="33" borderId="21" xfId="0" applyFont="1" applyFill="1" applyBorder="1" applyAlignment="1" applyProtection="1">
      <alignment horizontal="left" vertical="top" wrapText="1" indent="1"/>
      <protection locked="0"/>
    </xf>
    <xf numFmtId="0" fontId="35" fillId="33" borderId="22" xfId="0" applyFont="1" applyFill="1" applyBorder="1" applyAlignment="1" applyProtection="1">
      <alignment horizontal="left" vertical="top" wrapText="1" indent="1"/>
      <protection locked="0"/>
    </xf>
    <xf numFmtId="0" fontId="35" fillId="33" borderId="23" xfId="0" applyFont="1" applyFill="1" applyBorder="1" applyAlignment="1" applyProtection="1">
      <alignment horizontal="left" vertical="top" wrapText="1" indent="1"/>
      <protection locked="0"/>
    </xf>
    <xf numFmtId="0" fontId="35" fillId="33" borderId="24" xfId="0" applyFont="1" applyFill="1" applyBorder="1" applyAlignment="1" applyProtection="1">
      <alignment horizontal="left" vertical="top" wrapText="1" indent="1"/>
      <protection locked="0"/>
    </xf>
    <xf numFmtId="14" fontId="35" fillId="33" borderId="10" xfId="0" applyNumberFormat="1" applyFont="1" applyFill="1" applyBorder="1" applyAlignment="1" applyProtection="1">
      <alignment horizontal="center" vertical="center"/>
      <protection locked="0"/>
    </xf>
  </cellXfs>
  <cellStyles count="76">
    <cellStyle name="20% - Accent1" xfId="19" builtinId="30" customBuiltin="1"/>
    <cellStyle name="20% - Accent1 2" xfId="42" xr:uid="{00000000-0005-0000-0000-000001000000}"/>
    <cellStyle name="20% - Accent2" xfId="23" builtinId="34" customBuiltin="1"/>
    <cellStyle name="20% - Accent2 2" xfId="43" xr:uid="{00000000-0005-0000-0000-000003000000}"/>
    <cellStyle name="20% - Accent3" xfId="27" builtinId="38" customBuiltin="1"/>
    <cellStyle name="20% - Accent3 2" xfId="44" xr:uid="{00000000-0005-0000-0000-000005000000}"/>
    <cellStyle name="20% - Accent4" xfId="31" builtinId="42" customBuiltin="1"/>
    <cellStyle name="20% - Accent4 2" xfId="45" xr:uid="{00000000-0005-0000-0000-000007000000}"/>
    <cellStyle name="20% - Accent5" xfId="35" builtinId="46" customBuiltin="1"/>
    <cellStyle name="20% - Accent5 2" xfId="46" xr:uid="{00000000-0005-0000-0000-000009000000}"/>
    <cellStyle name="20% - Accent6" xfId="39" builtinId="50" customBuiltin="1"/>
    <cellStyle name="20% - Accent6 2" xfId="47" xr:uid="{00000000-0005-0000-0000-00000B000000}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1 2" xfId="48" xr:uid="{00000000-0005-0000-0000-000013000000}"/>
    <cellStyle name="60% - Accent2" xfId="25" builtinId="36" customBuiltin="1"/>
    <cellStyle name="60% - Accent2 2" xfId="49" xr:uid="{00000000-0005-0000-0000-000015000000}"/>
    <cellStyle name="60% - Accent3" xfId="29" builtinId="40" customBuiltin="1"/>
    <cellStyle name="60% - Accent3 2" xfId="50" xr:uid="{00000000-0005-0000-0000-000017000000}"/>
    <cellStyle name="60% - Accent4" xfId="33" builtinId="44" customBuiltin="1"/>
    <cellStyle name="60% - Accent4 2" xfId="51" xr:uid="{00000000-0005-0000-0000-000019000000}"/>
    <cellStyle name="60% - Accent5" xfId="37" builtinId="48" customBuiltin="1"/>
    <cellStyle name="60% - Accent5 2" xfId="52" xr:uid="{00000000-0005-0000-0000-00001B000000}"/>
    <cellStyle name="60% - Accent6" xfId="41" builtinId="52" customBuiltin="1"/>
    <cellStyle name="60% - Accent6 2" xfId="53" xr:uid="{00000000-0005-0000-0000-00001D000000}"/>
    <cellStyle name="Accent1" xfId="18" builtinId="29" customBuiltin="1"/>
    <cellStyle name="Accent1 2" xfId="54" xr:uid="{00000000-0005-0000-0000-00001F000000}"/>
    <cellStyle name="Accent2" xfId="22" builtinId="33" customBuiltin="1"/>
    <cellStyle name="Accent2 2" xfId="55" xr:uid="{00000000-0005-0000-0000-000021000000}"/>
    <cellStyle name="Accent3" xfId="26" builtinId="37" customBuiltin="1"/>
    <cellStyle name="Accent3 2" xfId="56" xr:uid="{00000000-0005-0000-0000-000023000000}"/>
    <cellStyle name="Accent4" xfId="30" builtinId="41" customBuiltin="1"/>
    <cellStyle name="Accent4 2" xfId="57" xr:uid="{00000000-0005-0000-0000-000025000000}"/>
    <cellStyle name="Accent5" xfId="34" builtinId="45" customBuiltin="1"/>
    <cellStyle name="Accent5 2" xfId="58" xr:uid="{00000000-0005-0000-0000-000027000000}"/>
    <cellStyle name="Accent6" xfId="38" builtinId="49" customBuiltin="1"/>
    <cellStyle name="Accent6 2" xfId="59" xr:uid="{00000000-0005-0000-0000-000029000000}"/>
    <cellStyle name="Bad" xfId="7" builtinId="27" customBuiltin="1"/>
    <cellStyle name="Bad 2" xfId="60" xr:uid="{00000000-0005-0000-0000-00002B000000}"/>
    <cellStyle name="Calculation" xfId="11" builtinId="22" customBuiltin="1"/>
    <cellStyle name="Calculation 2" xfId="61" xr:uid="{00000000-0005-0000-0000-00002D000000}"/>
    <cellStyle name="Check Cell" xfId="13" builtinId="23" customBuiltin="1"/>
    <cellStyle name="Check Cell 2" xfId="62" xr:uid="{00000000-0005-0000-0000-00002F000000}"/>
    <cellStyle name="Explanatory Text" xfId="16" builtinId="53" customBuiltin="1"/>
    <cellStyle name="Explanatory Text 2" xfId="63" xr:uid="{00000000-0005-0000-0000-000031000000}"/>
    <cellStyle name="Good" xfId="6" builtinId="26" customBuiltin="1"/>
    <cellStyle name="Good 2" xfId="64" xr:uid="{00000000-0005-0000-0000-000033000000}"/>
    <cellStyle name="Heading 1" xfId="2" builtinId="16" customBuiltin="1"/>
    <cellStyle name="Heading 1 2" xfId="65" xr:uid="{00000000-0005-0000-0000-000035000000}"/>
    <cellStyle name="Heading 2" xfId="3" builtinId="17" customBuiltin="1"/>
    <cellStyle name="Heading 2 2" xfId="66" xr:uid="{00000000-0005-0000-0000-000037000000}"/>
    <cellStyle name="Heading 3" xfId="4" builtinId="18" customBuiltin="1"/>
    <cellStyle name="Heading 3 2" xfId="67" xr:uid="{00000000-0005-0000-0000-000039000000}"/>
    <cellStyle name="Heading 4" xfId="5" builtinId="19" customBuiltin="1"/>
    <cellStyle name="Heading 4 2" xfId="68" xr:uid="{00000000-0005-0000-0000-00003B000000}"/>
    <cellStyle name="Input" xfId="9" builtinId="20" customBuiltin="1"/>
    <cellStyle name="Input 2" xfId="69" xr:uid="{00000000-0005-0000-0000-00003D000000}"/>
    <cellStyle name="Linked Cell" xfId="12" builtinId="24" customBuiltin="1"/>
    <cellStyle name="Linked Cell 2" xfId="70" xr:uid="{00000000-0005-0000-0000-00003F000000}"/>
    <cellStyle name="Neutral" xfId="8" builtinId="28" customBuiltin="1"/>
    <cellStyle name="Neutral 2" xfId="71" xr:uid="{00000000-0005-0000-0000-000041000000}"/>
    <cellStyle name="Normal" xfId="0" builtinId="0" customBuiltin="1"/>
    <cellStyle name="Note" xfId="15" builtinId="10" customBuiltin="1"/>
    <cellStyle name="Output" xfId="10" builtinId="21" customBuiltin="1"/>
    <cellStyle name="Output 2" xfId="72" xr:uid="{00000000-0005-0000-0000-000045000000}"/>
    <cellStyle name="Title" xfId="1" builtinId="15" customBuiltin="1"/>
    <cellStyle name="Title 2" xfId="73" xr:uid="{00000000-0005-0000-0000-000047000000}"/>
    <cellStyle name="Total" xfId="17" builtinId="25" customBuiltin="1"/>
    <cellStyle name="Total 2" xfId="74" xr:uid="{00000000-0005-0000-0000-000049000000}"/>
    <cellStyle name="Warning Text" xfId="14" builtinId="11" customBuiltin="1"/>
    <cellStyle name="Warning Text 2" xfId="75" xr:uid="{00000000-0005-0000-0000-00004B000000}"/>
  </cellStyles>
  <dxfs count="6"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4" formatCode="_-[$$-409]* #,##0.00_ ;_-[$$-409]* \-#,##0.00\ ;_-[$$-409]* &quot;-&quot;??_ ;_-@_ "/>
    </dxf>
    <dxf>
      <numFmt numFmtId="169" formatCode="dd/mm/yyyy"/>
    </dxf>
    <dxf>
      <numFmt numFmtId="169" formatCode="dd/mm/yyyy"/>
    </dxf>
    <dxf>
      <numFmt numFmtId="169" formatCode="dd/mm/yyyy"/>
    </dxf>
  </dxfs>
  <tableStyles count="0" defaultTableStyle="TableStyleMedium2" defaultPivotStyle="PivotStyleLight16"/>
  <colors>
    <mruColors>
      <color rgb="FF056FCE"/>
      <color rgb="FF0099FF"/>
      <color rgb="FF0099CC"/>
      <color rgb="FF3399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275416</xdr:colOff>
      <xdr:row>2</xdr:row>
      <xdr:rowOff>152169</xdr:rowOff>
    </xdr:from>
    <xdr:to>
      <xdr:col>12</xdr:col>
      <xdr:colOff>447675</xdr:colOff>
      <xdr:row>5</xdr:row>
      <xdr:rowOff>38331</xdr:rowOff>
    </xdr:to>
    <xdr:pic>
      <xdr:nvPicPr>
        <xdr:cNvPr id="2" name="Picture 1" descr="The DevAV company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66616" y="628419"/>
          <a:ext cx="2001059" cy="57173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ustomersTable" displayName="CustomersTable" ref="A1:P21" totalsRowShown="0">
  <autoFilter ref="A1:P21" xr:uid="{00000000-0009-0000-0100-000001000000}"/>
  <tableColumns count="16">
    <tableColumn id="2" xr3:uid="{00000000-0010-0000-0000-000002000000}" name="Name"/>
    <tableColumn id="1" xr3:uid="{00000000-0010-0000-0000-000001000000}" name="Id"/>
    <tableColumn id="3" xr3:uid="{00000000-0010-0000-0000-000003000000}" name="HomeOffice_Line"/>
    <tableColumn id="4" xr3:uid="{00000000-0010-0000-0000-000004000000}" name="HomeOffice_City"/>
    <tableColumn id="5" xr3:uid="{00000000-0010-0000-0000-000005000000}" name="HomeOffice_State"/>
    <tableColumn id="6" xr3:uid="{00000000-0010-0000-0000-000006000000}" name="HomeOffice_ZipCode"/>
    <tableColumn id="9" xr3:uid="{00000000-0010-0000-0000-000009000000}" name="BillingAddress_Line"/>
    <tableColumn id="10" xr3:uid="{00000000-0010-0000-0000-00000A000000}" name="BillingAddress_City"/>
    <tableColumn id="11" xr3:uid="{00000000-0010-0000-0000-00000B000000}" name="BillingAddress_State"/>
    <tableColumn id="12" xr3:uid="{00000000-0010-0000-0000-00000C000000}" name="BillingAddress_ZipCode"/>
    <tableColumn id="15" xr3:uid="{00000000-0010-0000-0000-00000F000000}" name="Phone"/>
    <tableColumn id="16" xr3:uid="{00000000-0010-0000-0000-000010000000}" name="Fax"/>
    <tableColumn id="17" xr3:uid="{00000000-0010-0000-0000-000011000000}" name="Website"/>
    <tableColumn id="19" xr3:uid="{00000000-0010-0000-0000-000013000000}" name="TotalStores"/>
    <tableColumn id="20" xr3:uid="{00000000-0010-0000-0000-000014000000}" name="TotalEmployees"/>
    <tableColumn id="21" xr3:uid="{00000000-0010-0000-0000-000015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mployeesTable" displayName="EmployeesTable" ref="A1:S52" totalsRowShown="0">
  <autoFilter ref="A1:S52" xr:uid="{00000000-0009-0000-0100-000002000000}">
    <filterColumn colId="1">
      <filters>
        <filter val="1"/>
      </filters>
    </filterColumn>
  </autoFilter>
  <tableColumns count="19">
    <tableColumn id="1" xr3:uid="{00000000-0010-0000-0100-000001000000}" name="Id"/>
    <tableColumn id="2" xr3:uid="{00000000-0010-0000-0100-000002000000}" name="Department"/>
    <tableColumn id="3" xr3:uid="{00000000-0010-0000-0100-000003000000}" name="Title"/>
    <tableColumn id="4" xr3:uid="{00000000-0010-0000-0100-000004000000}" name="Status"/>
    <tableColumn id="5" xr3:uid="{00000000-0010-0000-0100-000005000000}" name="HireDate" dataDxfId="5"/>
    <tableColumn id="6" xr3:uid="{00000000-0010-0000-0100-000006000000}" name="Order"/>
    <tableColumn id="7" xr3:uid="{00000000-0010-0000-0100-000007000000}" name="FirstName"/>
    <tableColumn id="8" xr3:uid="{00000000-0010-0000-0100-000008000000}" name="LastName"/>
    <tableColumn id="9" xr3:uid="{00000000-0010-0000-0100-000009000000}" name="FullName"/>
    <tableColumn id="10" xr3:uid="{00000000-0010-0000-0100-00000A000000}" name="Prefix"/>
    <tableColumn id="11" xr3:uid="{00000000-0010-0000-0100-00000B000000}" name="HomePhone"/>
    <tableColumn id="12" xr3:uid="{00000000-0010-0000-0100-00000C000000}" name="MobilePhone"/>
    <tableColumn id="13" xr3:uid="{00000000-0010-0000-0100-00000D000000}" name="Email"/>
    <tableColumn id="14" xr3:uid="{00000000-0010-0000-0100-00000E000000}" name="Skype"/>
    <tableColumn id="15" xr3:uid="{00000000-0010-0000-0100-00000F000000}" name="BirthDate" dataDxfId="4"/>
    <tableColumn id="16" xr3:uid="{00000000-0010-0000-0100-000010000000}" name="Address_Line"/>
    <tableColumn id="17" xr3:uid="{00000000-0010-0000-0100-000011000000}" name="Address_City"/>
    <tableColumn id="18" xr3:uid="{00000000-0010-0000-0100-000012000000}" name="Address_State"/>
    <tableColumn id="19" xr3:uid="{00000000-0010-0000-0100-000013000000}" name="Address_ZipCo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roductsTable" displayName="ProductsTable" ref="A1:J20" totalsRowShown="0">
  <autoFilter ref="A1:J20" xr:uid="{00000000-0009-0000-0100-000003000000}"/>
  <tableColumns count="10">
    <tableColumn id="1" xr3:uid="{00000000-0010-0000-0200-000001000000}" name="Id"/>
    <tableColumn id="2" xr3:uid="{00000000-0010-0000-0200-000002000000}" name="Name"/>
    <tableColumn id="3" xr3:uid="{00000000-0010-0000-0200-000003000000}" name="ProductionStart" dataDxfId="3"/>
    <tableColumn id="4" xr3:uid="{00000000-0010-0000-0200-000004000000}" name="Available"/>
    <tableColumn id="5" xr3:uid="{00000000-0010-0000-0200-000005000000}" name="CurrentInventory"/>
    <tableColumn id="6" xr3:uid="{00000000-0010-0000-0200-000006000000}" name="Backorder"/>
    <tableColumn id="7" xr3:uid="{00000000-0010-0000-0200-000007000000}" name="Manufacturing"/>
    <tableColumn id="8" xr3:uid="{00000000-0010-0000-0200-000008000000}" name="Cost" dataDxfId="2"/>
    <tableColumn id="9" xr3:uid="{00000000-0010-0000-0200-000009000000}" name="SalePrice" dataDxfId="1"/>
    <tableColumn id="10" xr3:uid="{00000000-0010-0000-0200-00000A000000}" name="RetailPrice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StoresTable" displayName="StoresTable" ref="A4:H204" totalsRowShown="0">
  <autoFilter ref="A4:H204" xr:uid="{00000000-0009-0000-0100-000004000000}">
    <filterColumn colId="1">
      <filters>
        <filter val="41B0A894-60E6-E311-A609-080027D10434"/>
      </filters>
    </filterColumn>
  </autoFilter>
  <tableColumns count="8">
    <tableColumn id="1" xr3:uid="{00000000-0010-0000-0300-000001000000}" name="Id"/>
    <tableColumn id="2" xr3:uid="{00000000-0010-0000-0300-000002000000}" name="CustomerId"/>
    <tableColumn id="3" xr3:uid="{00000000-0010-0000-0300-000003000000}" name="Address_Line"/>
    <tableColumn id="4" xr3:uid="{00000000-0010-0000-0300-000004000000}" name="Address_City"/>
    <tableColumn id="5" xr3:uid="{00000000-0010-0000-0300-000005000000}" name="Address_State"/>
    <tableColumn id="6" xr3:uid="{00000000-0010-0000-0300-000006000000}" name="Address_ZipCode"/>
    <tableColumn id="7" xr3:uid="{00000000-0010-0000-0300-000007000000}" name="Phone"/>
    <tableColumn id="8" xr3:uid="{00000000-0010-0000-0300-000008000000}" name="F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B1:N34"/>
  <sheetViews>
    <sheetView tabSelected="1" workbookViewId="0">
      <selection activeCell="B10" sqref="B10:E10"/>
    </sheetView>
  </sheetViews>
  <sheetFormatPr defaultColWidth="9.140625" defaultRowHeight="16.5" x14ac:dyDescent="0.3"/>
  <cols>
    <col min="1" max="1" width="4.140625" style="6" customWidth="1"/>
    <col min="2" max="2" width="15.7109375" style="6" customWidth="1"/>
    <col min="3" max="3" width="14.140625" style="6" customWidth="1"/>
    <col min="4" max="13" width="9.140625" style="6"/>
    <col min="14" max="14" width="28.42578125" style="6" customWidth="1"/>
    <col min="15" max="16384" width="9.140625" style="6"/>
  </cols>
  <sheetData>
    <row r="1" spans="2:13" ht="21" customHeight="1" x14ac:dyDescent="0.3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3" spans="2:13" hidden="1" x14ac:dyDescent="0.3"/>
    <row r="4" spans="2:13" ht="21" customHeight="1" x14ac:dyDescent="0.3">
      <c r="B4" s="18">
        <v>42831</v>
      </c>
      <c r="C4" s="19"/>
    </row>
    <row r="5" spans="2:13" ht="21" customHeight="1" x14ac:dyDescent="0.3">
      <c r="B5" s="20" t="s">
        <v>745</v>
      </c>
      <c r="C5" s="21">
        <v>234621</v>
      </c>
    </row>
    <row r="7" spans="2:13" hidden="1" x14ac:dyDescent="0.3"/>
    <row r="9" spans="2:13" ht="24.95" customHeight="1" x14ac:dyDescent="0.3">
      <c r="B9" s="26" t="s">
        <v>746</v>
      </c>
      <c r="C9" s="27"/>
      <c r="D9" s="27"/>
      <c r="E9" s="28"/>
      <c r="H9" s="26" t="s">
        <v>747</v>
      </c>
      <c r="I9" s="27"/>
      <c r="J9" s="27"/>
      <c r="K9" s="27"/>
      <c r="L9" s="27"/>
      <c r="M9" s="28"/>
    </row>
    <row r="10" spans="2:13" s="7" customFormat="1" ht="18.95" customHeight="1" x14ac:dyDescent="0.25">
      <c r="B10" s="40" t="s">
        <v>41</v>
      </c>
      <c r="C10" s="41"/>
      <c r="D10" s="41"/>
      <c r="E10" s="42"/>
      <c r="H10" s="29" t="str">
        <f>B10</f>
        <v>Tom's Club</v>
      </c>
      <c r="I10" s="30"/>
      <c r="J10" s="30"/>
      <c r="K10" s="30"/>
      <c r="L10" s="30"/>
      <c r="M10" s="31"/>
    </row>
    <row r="11" spans="2:13" ht="17.45" hidden="1" customHeight="1" x14ac:dyDescent="0.3">
      <c r="B11" s="8" t="str">
        <f>VLOOKUP(B10,CustomersTable[],2,FALSE)</f>
        <v>41B0A894-60E6-E311-A609-080027D10434</v>
      </c>
      <c r="C11" s="9"/>
      <c r="D11" s="10"/>
      <c r="E11" s="11"/>
      <c r="H11" s="8"/>
      <c r="I11" s="10"/>
      <c r="J11" s="10"/>
      <c r="K11" s="10"/>
      <c r="L11" s="10"/>
      <c r="M11" s="11"/>
    </row>
    <row r="12" spans="2:13" s="7" customFormat="1" ht="18.95" customHeight="1" x14ac:dyDescent="0.25">
      <c r="B12" s="50" t="s">
        <v>1181</v>
      </c>
      <c r="C12" s="51"/>
      <c r="D12" s="51"/>
      <c r="E12" s="52"/>
      <c r="H12" s="47" t="s">
        <v>758</v>
      </c>
      <c r="I12" s="48"/>
      <c r="J12" s="48"/>
      <c r="K12" s="48"/>
      <c r="L12" s="48"/>
      <c r="M12" s="49"/>
    </row>
    <row r="13" spans="2:13" s="7" customFormat="1" ht="18.95" customHeight="1" x14ac:dyDescent="0.25">
      <c r="B13" s="50" t="str">
        <f>VLOOKUP(B10,CustomersTable[],3,FALSE)</f>
        <v>999 Lake Drive</v>
      </c>
      <c r="C13" s="51"/>
      <c r="D13" s="51"/>
      <c r="E13" s="52"/>
      <c r="H13" s="50" t="str">
        <f>DGET(StoresTable[#All], "Address_Line", Stores!$B$1:$C$2)</f>
        <v>2345 Fenton Pkwy</v>
      </c>
      <c r="I13" s="51"/>
      <c r="J13" s="51"/>
      <c r="K13" s="51"/>
      <c r="L13" s="51"/>
      <c r="M13" s="52"/>
    </row>
    <row r="14" spans="2:13" s="7" customFormat="1" ht="18.95" customHeight="1" x14ac:dyDescent="0.25">
      <c r="B14" s="45" t="str">
        <f>CONCATENATE(VLOOKUP(B10,CustomersTable[],4,FALSE),", ",VLOOKUP(B10,CustomersTable[],5,FALSE)," ",VLOOKUP(B10,CustomersTable[],6,FALSE))</f>
        <v>Issaquah, WA 98027</v>
      </c>
      <c r="C14" s="46"/>
      <c r="D14" s="46"/>
      <c r="E14" s="70"/>
      <c r="H14" s="45" t="str">
        <f>CONCATENATE(H12,", ",DGET(StoresTable[#All], "Address_State", Stores!$B$1:$C$2)," ",DGET(StoresTable[#All], "Address_ZipCode", Stores!$B$1:$C$2))</f>
        <v>San Diego, CA 92108</v>
      </c>
      <c r="I14" s="46"/>
      <c r="J14" s="46"/>
      <c r="K14" s="46"/>
      <c r="L14" s="12"/>
      <c r="M14" s="13"/>
    </row>
    <row r="15" spans="2:13" x14ac:dyDescent="0.3">
      <c r="B15" s="14"/>
      <c r="C15" s="14"/>
    </row>
    <row r="17" spans="2:14" ht="24.95" customHeight="1" x14ac:dyDescent="0.3">
      <c r="B17" s="33" t="s">
        <v>1182</v>
      </c>
      <c r="C17" s="33"/>
      <c r="D17" s="33" t="s">
        <v>1183</v>
      </c>
      <c r="E17" s="33"/>
      <c r="F17" s="33" t="s">
        <v>1184</v>
      </c>
      <c r="G17" s="33"/>
      <c r="H17" s="33" t="s">
        <v>1197</v>
      </c>
      <c r="I17" s="33"/>
      <c r="J17" s="33" t="s">
        <v>1186</v>
      </c>
      <c r="K17" s="33"/>
      <c r="L17" s="33" t="s">
        <v>1187</v>
      </c>
      <c r="M17" s="33"/>
    </row>
    <row r="18" spans="2:14" ht="24.95" customHeight="1" x14ac:dyDescent="0.3">
      <c r="B18" s="39" t="s">
        <v>291</v>
      </c>
      <c r="C18" s="39"/>
      <c r="D18" s="39">
        <v>119844</v>
      </c>
      <c r="E18" s="39"/>
      <c r="F18" s="80">
        <v>42511</v>
      </c>
      <c r="G18" s="39"/>
      <c r="H18" s="39" t="s">
        <v>1185</v>
      </c>
      <c r="I18" s="39"/>
      <c r="J18" s="34"/>
      <c r="K18" s="34"/>
      <c r="L18" s="35">
        <v>15</v>
      </c>
      <c r="M18" s="35"/>
    </row>
    <row r="21" spans="2:14" ht="24.95" customHeight="1" x14ac:dyDescent="0.3">
      <c r="B21" s="22" t="s">
        <v>1191</v>
      </c>
      <c r="C21" s="53" t="s">
        <v>1195</v>
      </c>
      <c r="D21" s="54"/>
      <c r="E21" s="54"/>
      <c r="F21" s="55"/>
      <c r="G21" s="36" t="s">
        <v>1190</v>
      </c>
      <c r="H21" s="38"/>
      <c r="I21" s="36" t="s">
        <v>1189</v>
      </c>
      <c r="J21" s="38"/>
      <c r="K21" s="36" t="s">
        <v>1188</v>
      </c>
      <c r="L21" s="37"/>
      <c r="M21" s="38"/>
      <c r="N21" s="23"/>
    </row>
    <row r="22" spans="2:14" ht="24.95" customHeight="1" x14ac:dyDescent="0.3">
      <c r="B22" s="15">
        <v>10</v>
      </c>
      <c r="C22" s="56" t="s">
        <v>708</v>
      </c>
      <c r="D22" s="56"/>
      <c r="E22" s="56"/>
      <c r="F22" s="56"/>
      <c r="G22" s="43">
        <f>VLOOKUP(C22,Products!$B$2:$I$20,8,FALSE)</f>
        <v>220</v>
      </c>
      <c r="H22" s="43"/>
      <c r="I22" s="44">
        <v>200</v>
      </c>
      <c r="J22" s="44"/>
      <c r="K22" s="32">
        <f>B22*G22-I22</f>
        <v>2000</v>
      </c>
      <c r="L22" s="32"/>
      <c r="M22" s="32"/>
      <c r="N22" s="25" t="s">
        <v>1198</v>
      </c>
    </row>
    <row r="23" spans="2:14" ht="24.95" customHeight="1" x14ac:dyDescent="0.3">
      <c r="B23" s="15">
        <v>5</v>
      </c>
      <c r="C23" s="56" t="s">
        <v>714</v>
      </c>
      <c r="D23" s="56"/>
      <c r="E23" s="56"/>
      <c r="F23" s="56"/>
      <c r="G23" s="43">
        <f>VLOOKUP(C23,Products!$B$2:$I$20,8,FALSE)</f>
        <v>1100</v>
      </c>
      <c r="H23" s="43"/>
      <c r="I23" s="44">
        <v>500</v>
      </c>
      <c r="J23" s="44"/>
      <c r="K23" s="32">
        <f t="shared" ref="K23:K25" si="0">B23*G23-I23</f>
        <v>5000</v>
      </c>
      <c r="L23" s="32"/>
      <c r="M23" s="32"/>
      <c r="N23" s="24" t="s">
        <v>1198</v>
      </c>
    </row>
    <row r="24" spans="2:14" ht="24.95" customHeight="1" x14ac:dyDescent="0.3">
      <c r="B24" s="15">
        <v>2</v>
      </c>
      <c r="C24" s="56" t="s">
        <v>716</v>
      </c>
      <c r="D24" s="56"/>
      <c r="E24" s="56"/>
      <c r="F24" s="56"/>
      <c r="G24" s="43">
        <f>VLOOKUP(C24,Products!$B$2:$I$20,8,FALSE)</f>
        <v>1050</v>
      </c>
      <c r="H24" s="43"/>
      <c r="I24" s="44">
        <v>50</v>
      </c>
      <c r="J24" s="44"/>
      <c r="K24" s="32">
        <f t="shared" si="0"/>
        <v>2050</v>
      </c>
      <c r="L24" s="32"/>
      <c r="M24" s="32"/>
      <c r="N24" s="24" t="s">
        <v>1198</v>
      </c>
    </row>
    <row r="25" spans="2:14" ht="24.95" customHeight="1" x14ac:dyDescent="0.3">
      <c r="B25" s="15">
        <v>5</v>
      </c>
      <c r="C25" s="56" t="s">
        <v>736</v>
      </c>
      <c r="D25" s="56"/>
      <c r="E25" s="56"/>
      <c r="F25" s="56"/>
      <c r="G25" s="43">
        <f>VLOOKUP(C25,Products!$B$2:$I$20,8,FALSE)</f>
        <v>600</v>
      </c>
      <c r="H25" s="43"/>
      <c r="I25" s="44">
        <v>250</v>
      </c>
      <c r="J25" s="44"/>
      <c r="K25" s="32">
        <f t="shared" si="0"/>
        <v>2750</v>
      </c>
      <c r="L25" s="32"/>
      <c r="M25" s="32"/>
      <c r="N25" s="24" t="s">
        <v>1198</v>
      </c>
    </row>
    <row r="26" spans="2:14" ht="24.95" customHeight="1" x14ac:dyDescent="0.3">
      <c r="B26" s="7"/>
      <c r="C26" s="68" t="s">
        <v>1198</v>
      </c>
      <c r="D26" s="68"/>
      <c r="E26" s="68"/>
      <c r="F26" s="69"/>
      <c r="G26" s="62" t="s">
        <v>1192</v>
      </c>
      <c r="H26" s="63"/>
      <c r="I26" s="63"/>
      <c r="J26" s="64"/>
      <c r="K26" s="57">
        <f>SUM(K22:M25)</f>
        <v>11800</v>
      </c>
      <c r="L26" s="58"/>
      <c r="M26" s="58"/>
      <c r="N26" s="16"/>
    </row>
    <row r="27" spans="2:14" ht="24.95" customHeight="1" x14ac:dyDescent="0.3">
      <c r="B27" s="7"/>
      <c r="C27" s="7"/>
      <c r="D27" s="7"/>
      <c r="E27" s="7"/>
      <c r="F27" s="7"/>
      <c r="G27" s="62" t="s">
        <v>1193</v>
      </c>
      <c r="H27" s="63"/>
      <c r="I27" s="63"/>
      <c r="J27" s="64"/>
      <c r="K27" s="59">
        <v>375</v>
      </c>
      <c r="L27" s="59"/>
      <c r="M27" s="59"/>
    </row>
    <row r="28" spans="2:14" ht="24.95" customHeight="1" x14ac:dyDescent="0.3">
      <c r="B28" s="7"/>
      <c r="C28" s="7"/>
      <c r="D28" s="7"/>
      <c r="E28" s="7"/>
      <c r="F28" s="7"/>
      <c r="G28" s="65" t="s">
        <v>1194</v>
      </c>
      <c r="H28" s="66"/>
      <c r="I28" s="66"/>
      <c r="J28" s="67"/>
      <c r="K28" s="60">
        <f>SUM(K26:M27)</f>
        <v>12175</v>
      </c>
      <c r="L28" s="61"/>
      <c r="M28" s="61"/>
    </row>
    <row r="30" spans="2:14" x14ac:dyDescent="0.3">
      <c r="B30" s="14" t="s">
        <v>1196</v>
      </c>
    </row>
    <row r="31" spans="2:14" x14ac:dyDescent="0.3">
      <c r="B31" s="71"/>
      <c r="C31" s="72"/>
      <c r="D31" s="72"/>
      <c r="E31" s="72"/>
      <c r="F31" s="73"/>
      <c r="G31" s="17"/>
      <c r="H31" s="17"/>
      <c r="I31" s="17"/>
      <c r="J31" s="17"/>
      <c r="K31" s="17"/>
      <c r="L31" s="17"/>
      <c r="M31" s="17"/>
    </row>
    <row r="32" spans="2:14" x14ac:dyDescent="0.3">
      <c r="B32" s="74"/>
      <c r="C32" s="75"/>
      <c r="D32" s="75"/>
      <c r="E32" s="75"/>
      <c r="F32" s="76"/>
      <c r="G32" s="17"/>
      <c r="H32" s="17"/>
      <c r="I32" s="17"/>
      <c r="J32" s="17"/>
      <c r="K32" s="17"/>
      <c r="L32" s="17"/>
      <c r="M32" s="17"/>
    </row>
    <row r="33" spans="2:13" x14ac:dyDescent="0.3">
      <c r="B33" s="74"/>
      <c r="C33" s="75"/>
      <c r="D33" s="75"/>
      <c r="E33" s="75"/>
      <c r="F33" s="76"/>
      <c r="G33" s="17"/>
      <c r="H33" s="17"/>
      <c r="I33" s="17"/>
      <c r="J33" s="17"/>
      <c r="K33" s="17"/>
      <c r="L33" s="17"/>
      <c r="M33" s="17"/>
    </row>
    <row r="34" spans="2:13" x14ac:dyDescent="0.3">
      <c r="B34" s="77"/>
      <c r="C34" s="78"/>
      <c r="D34" s="78"/>
      <c r="E34" s="78"/>
      <c r="F34" s="79"/>
      <c r="G34" s="17"/>
      <c r="H34" s="17"/>
      <c r="I34" s="17"/>
      <c r="J34" s="17"/>
      <c r="K34" s="17"/>
      <c r="L34" s="17"/>
      <c r="M34" s="17"/>
    </row>
  </sheetData>
  <sheetProtection algorithmName="SHA-512" hashValue="Rha1Ey9PQySrVoLzrqkS5612CXxGsEuIFuuLhgfsAv1b4lqdcVQ0xTy9Kg3TBbsnzjx9d8zv9r1SfuSTQjgllw==" saltValue="e8dgaH/ojZQ3A35ySjkLrA==" spinCount="100000" sheet="1" objects="1" scenarios="1"/>
  <mergeCells count="50">
    <mergeCell ref="B17:C17"/>
    <mergeCell ref="B12:E12"/>
    <mergeCell ref="B13:E13"/>
    <mergeCell ref="B14:E14"/>
    <mergeCell ref="B31:F34"/>
    <mergeCell ref="C24:F24"/>
    <mergeCell ref="D17:E17"/>
    <mergeCell ref="D18:E18"/>
    <mergeCell ref="F17:G17"/>
    <mergeCell ref="F18:G18"/>
    <mergeCell ref="B18:C18"/>
    <mergeCell ref="K26:M26"/>
    <mergeCell ref="K27:M27"/>
    <mergeCell ref="K28:M28"/>
    <mergeCell ref="C25:F25"/>
    <mergeCell ref="G25:H25"/>
    <mergeCell ref="I25:J25"/>
    <mergeCell ref="G26:J26"/>
    <mergeCell ref="G27:J27"/>
    <mergeCell ref="G28:J28"/>
    <mergeCell ref="C26:F26"/>
    <mergeCell ref="B9:E9"/>
    <mergeCell ref="B10:E10"/>
    <mergeCell ref="G24:H24"/>
    <mergeCell ref="I22:J22"/>
    <mergeCell ref="I23:J23"/>
    <mergeCell ref="I24:J24"/>
    <mergeCell ref="H14:K14"/>
    <mergeCell ref="G22:H22"/>
    <mergeCell ref="G23:H23"/>
    <mergeCell ref="H12:M12"/>
    <mergeCell ref="H13:M13"/>
    <mergeCell ref="K22:M22"/>
    <mergeCell ref="G21:H21"/>
    <mergeCell ref="C21:F21"/>
    <mergeCell ref="C22:F22"/>
    <mergeCell ref="C23:F23"/>
    <mergeCell ref="H9:M9"/>
    <mergeCell ref="H10:M10"/>
    <mergeCell ref="K25:M25"/>
    <mergeCell ref="K23:M23"/>
    <mergeCell ref="K24:M24"/>
    <mergeCell ref="J17:K17"/>
    <mergeCell ref="J18:K18"/>
    <mergeCell ref="L17:M17"/>
    <mergeCell ref="L18:M18"/>
    <mergeCell ref="K21:M21"/>
    <mergeCell ref="I21:J21"/>
    <mergeCell ref="H17:I17"/>
    <mergeCell ref="H18:I18"/>
  </mergeCells>
  <pageMargins left="0.7" right="0.7" top="0.75" bottom="0.75" header="0.3" footer="0.3"/>
  <pageSetup paperSize="9" scale="72" fitToHeight="0" orientation="portrait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Customers!$A$2:$A$21</xm:f>
          </x14:formula1>
          <xm:sqref>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21"/>
  <sheetViews>
    <sheetView workbookViewId="0"/>
  </sheetViews>
  <sheetFormatPr defaultRowHeight="15" x14ac:dyDescent="0.25"/>
  <cols>
    <col min="1" max="1" width="21.85546875" bestFit="1" customWidth="1"/>
    <col min="2" max="2" width="38.140625" bestFit="1" customWidth="1"/>
    <col min="3" max="3" width="24.42578125" customWidth="1"/>
    <col min="4" max="4" width="18.5703125" customWidth="1"/>
    <col min="5" max="5" width="19.42578125" customWidth="1"/>
    <col min="6" max="6" width="22.140625" customWidth="1"/>
    <col min="7" max="7" width="20.5703125" customWidth="1"/>
    <col min="8" max="8" width="20.28515625" customWidth="1"/>
    <col min="9" max="9" width="21.42578125" customWidth="1"/>
    <col min="10" max="10" width="24.7109375" customWidth="1"/>
    <col min="11" max="12" width="13.7109375" customWidth="1"/>
    <col min="13" max="13" width="41.28515625" customWidth="1"/>
    <col min="14" max="14" width="13.28515625" customWidth="1"/>
    <col min="15" max="15" width="17.5703125" customWidth="1"/>
    <col min="16" max="16" width="8.7109375" customWidth="1"/>
  </cols>
  <sheetData>
    <row r="1" spans="1:16" x14ac:dyDescent="0.25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 x14ac:dyDescent="0.25">
      <c r="A2" t="s">
        <v>17</v>
      </c>
      <c r="B2" t="s">
        <v>16</v>
      </c>
      <c r="C2" t="s">
        <v>18</v>
      </c>
      <c r="D2" t="s">
        <v>19</v>
      </c>
      <c r="E2" t="s">
        <v>749</v>
      </c>
      <c r="F2">
        <v>72716</v>
      </c>
      <c r="G2" t="s">
        <v>20</v>
      </c>
      <c r="H2" t="s">
        <v>19</v>
      </c>
      <c r="I2" t="s">
        <v>749</v>
      </c>
      <c r="J2">
        <v>72716</v>
      </c>
      <c r="K2" t="s">
        <v>21</v>
      </c>
      <c r="L2" t="s">
        <v>22</v>
      </c>
      <c r="M2" t="s">
        <v>23</v>
      </c>
      <c r="N2">
        <v>25</v>
      </c>
      <c r="O2">
        <v>11000</v>
      </c>
      <c r="P2">
        <v>0</v>
      </c>
    </row>
    <row r="3" spans="1:16" x14ac:dyDescent="0.25">
      <c r="A3" t="s">
        <v>25</v>
      </c>
      <c r="B3" t="s">
        <v>24</v>
      </c>
      <c r="C3" t="s">
        <v>26</v>
      </c>
      <c r="D3" t="s">
        <v>27</v>
      </c>
      <c r="E3" t="s">
        <v>1175</v>
      </c>
      <c r="F3">
        <v>30339</v>
      </c>
      <c r="G3" t="s">
        <v>28</v>
      </c>
      <c r="H3" t="s">
        <v>27</v>
      </c>
      <c r="I3" t="s">
        <v>1175</v>
      </c>
      <c r="J3">
        <v>30339</v>
      </c>
      <c r="K3" t="s">
        <v>29</v>
      </c>
      <c r="L3" t="s">
        <v>30</v>
      </c>
      <c r="M3" t="s">
        <v>31</v>
      </c>
      <c r="N3">
        <v>20</v>
      </c>
      <c r="O3">
        <v>5000</v>
      </c>
      <c r="P3">
        <v>0</v>
      </c>
    </row>
    <row r="4" spans="1:16" x14ac:dyDescent="0.25">
      <c r="A4" t="s">
        <v>33</v>
      </c>
      <c r="B4" t="s">
        <v>32</v>
      </c>
      <c r="C4" t="s">
        <v>34</v>
      </c>
      <c r="D4" t="s">
        <v>35</v>
      </c>
      <c r="E4" t="s">
        <v>1176</v>
      </c>
      <c r="F4">
        <v>55403</v>
      </c>
      <c r="G4" t="s">
        <v>36</v>
      </c>
      <c r="H4" t="s">
        <v>35</v>
      </c>
      <c r="I4" t="s">
        <v>1176</v>
      </c>
      <c r="J4">
        <v>55403</v>
      </c>
      <c r="K4" t="s">
        <v>37</v>
      </c>
      <c r="L4" t="s">
        <v>38</v>
      </c>
      <c r="M4" t="s">
        <v>39</v>
      </c>
      <c r="N4">
        <v>28</v>
      </c>
      <c r="O4">
        <v>19000</v>
      </c>
      <c r="P4">
        <v>0</v>
      </c>
    </row>
    <row r="5" spans="1:16" x14ac:dyDescent="0.25">
      <c r="A5" t="s">
        <v>41</v>
      </c>
      <c r="B5" t="s">
        <v>40</v>
      </c>
      <c r="C5" t="s">
        <v>42</v>
      </c>
      <c r="D5" t="s">
        <v>43</v>
      </c>
      <c r="E5" t="s">
        <v>1170</v>
      </c>
      <c r="F5">
        <v>98027</v>
      </c>
      <c r="G5" t="s">
        <v>44</v>
      </c>
      <c r="H5" t="s">
        <v>43</v>
      </c>
      <c r="I5" t="s">
        <v>1170</v>
      </c>
      <c r="J5">
        <v>98124</v>
      </c>
      <c r="K5" t="s">
        <v>45</v>
      </c>
      <c r="L5" t="s">
        <v>46</v>
      </c>
      <c r="M5" t="s">
        <v>47</v>
      </c>
      <c r="N5">
        <v>33</v>
      </c>
      <c r="O5">
        <v>3000</v>
      </c>
      <c r="P5">
        <v>0</v>
      </c>
    </row>
    <row r="6" spans="1:16" x14ac:dyDescent="0.25">
      <c r="A6" t="s">
        <v>49</v>
      </c>
      <c r="B6" t="s">
        <v>48</v>
      </c>
      <c r="C6" t="s">
        <v>50</v>
      </c>
      <c r="D6" t="s">
        <v>51</v>
      </c>
      <c r="E6" t="s">
        <v>1177</v>
      </c>
      <c r="F6">
        <v>60179</v>
      </c>
      <c r="G6" t="s">
        <v>52</v>
      </c>
      <c r="H6" t="s">
        <v>51</v>
      </c>
      <c r="I6" t="s">
        <v>1177</v>
      </c>
      <c r="J6">
        <v>60179</v>
      </c>
      <c r="K6" t="s">
        <v>53</v>
      </c>
      <c r="L6" t="s">
        <v>54</v>
      </c>
      <c r="M6" t="s">
        <v>55</v>
      </c>
      <c r="N6">
        <v>31</v>
      </c>
      <c r="O6">
        <v>4000</v>
      </c>
      <c r="P6">
        <v>0</v>
      </c>
    </row>
    <row r="7" spans="1:16" x14ac:dyDescent="0.25">
      <c r="A7" t="s">
        <v>57</v>
      </c>
      <c r="B7" t="s">
        <v>56</v>
      </c>
      <c r="C7" t="s">
        <v>58</v>
      </c>
      <c r="D7" t="s">
        <v>59</v>
      </c>
      <c r="E7" t="s">
        <v>1177</v>
      </c>
      <c r="F7">
        <v>60015</v>
      </c>
      <c r="G7" t="s">
        <v>60</v>
      </c>
      <c r="H7" t="s">
        <v>59</v>
      </c>
      <c r="I7" t="s">
        <v>1177</v>
      </c>
      <c r="J7">
        <v>60015</v>
      </c>
      <c r="K7" t="s">
        <v>61</v>
      </c>
      <c r="L7" t="s">
        <v>62</v>
      </c>
      <c r="M7" t="s">
        <v>63</v>
      </c>
      <c r="N7">
        <v>28</v>
      </c>
      <c r="O7">
        <v>19000</v>
      </c>
      <c r="P7">
        <v>0</v>
      </c>
    </row>
    <row r="8" spans="1:16" x14ac:dyDescent="0.25">
      <c r="A8" t="s">
        <v>65</v>
      </c>
      <c r="B8" t="s">
        <v>64</v>
      </c>
      <c r="C8" t="s">
        <v>66</v>
      </c>
      <c r="D8" t="s">
        <v>67</v>
      </c>
      <c r="E8" t="s">
        <v>1180</v>
      </c>
      <c r="F8">
        <v>76102</v>
      </c>
      <c r="G8" t="s">
        <v>68</v>
      </c>
      <c r="H8" t="s">
        <v>67</v>
      </c>
      <c r="I8" t="s">
        <v>1180</v>
      </c>
      <c r="J8">
        <v>76102</v>
      </c>
      <c r="K8" t="s">
        <v>69</v>
      </c>
      <c r="L8" t="s">
        <v>70</v>
      </c>
      <c r="M8" t="s">
        <v>71</v>
      </c>
      <c r="N8">
        <v>33</v>
      </c>
      <c r="O8">
        <v>11000</v>
      </c>
      <c r="P8">
        <v>0</v>
      </c>
    </row>
    <row r="9" spans="1:16" x14ac:dyDescent="0.25">
      <c r="A9" t="s">
        <v>73</v>
      </c>
      <c r="B9" t="s">
        <v>72</v>
      </c>
      <c r="C9" t="s">
        <v>74</v>
      </c>
      <c r="D9" t="s">
        <v>75</v>
      </c>
      <c r="E9" t="s">
        <v>1177</v>
      </c>
      <c r="F9">
        <v>60523</v>
      </c>
      <c r="G9" t="s">
        <v>76</v>
      </c>
      <c r="H9" t="s">
        <v>75</v>
      </c>
      <c r="I9" t="s">
        <v>1177</v>
      </c>
      <c r="J9">
        <v>60523</v>
      </c>
      <c r="K9" t="s">
        <v>77</v>
      </c>
      <c r="L9" t="s">
        <v>78</v>
      </c>
      <c r="M9" t="s">
        <v>79</v>
      </c>
      <c r="N9">
        <v>24</v>
      </c>
      <c r="O9">
        <v>5000</v>
      </c>
      <c r="P9">
        <v>0</v>
      </c>
    </row>
    <row r="10" spans="1:16" x14ac:dyDescent="0.25">
      <c r="A10" t="s">
        <v>81</v>
      </c>
      <c r="B10" t="s">
        <v>80</v>
      </c>
      <c r="C10" t="s">
        <v>82</v>
      </c>
      <c r="D10" t="s">
        <v>83</v>
      </c>
      <c r="E10" t="s">
        <v>1176</v>
      </c>
      <c r="F10">
        <v>55423</v>
      </c>
      <c r="G10" t="s">
        <v>84</v>
      </c>
      <c r="H10" t="s">
        <v>83</v>
      </c>
      <c r="I10" t="s">
        <v>1176</v>
      </c>
      <c r="J10">
        <v>55423</v>
      </c>
      <c r="K10" t="s">
        <v>85</v>
      </c>
      <c r="L10" t="s">
        <v>86</v>
      </c>
      <c r="M10" t="s">
        <v>87</v>
      </c>
      <c r="N10">
        <v>24</v>
      </c>
      <c r="O10">
        <v>16000</v>
      </c>
      <c r="P10">
        <v>0</v>
      </c>
    </row>
    <row r="11" spans="1:16" x14ac:dyDescent="0.25">
      <c r="A11" t="s">
        <v>89</v>
      </c>
      <c r="B11" t="s">
        <v>88</v>
      </c>
      <c r="C11" t="s">
        <v>90</v>
      </c>
      <c r="D11" t="s">
        <v>91</v>
      </c>
      <c r="E11" t="s">
        <v>1177</v>
      </c>
      <c r="F11">
        <v>60563</v>
      </c>
      <c r="G11" t="s">
        <v>92</v>
      </c>
      <c r="H11" t="s">
        <v>91</v>
      </c>
      <c r="I11" t="s">
        <v>1177</v>
      </c>
      <c r="J11">
        <v>60563</v>
      </c>
      <c r="K11" t="s">
        <v>93</v>
      </c>
      <c r="L11" t="s">
        <v>94</v>
      </c>
      <c r="M11" t="s">
        <v>95</v>
      </c>
      <c r="N11">
        <v>23</v>
      </c>
      <c r="O11">
        <v>12000</v>
      </c>
      <c r="P11">
        <v>0</v>
      </c>
    </row>
    <row r="12" spans="1:16" x14ac:dyDescent="0.25">
      <c r="A12" t="s">
        <v>97</v>
      </c>
      <c r="B12" t="s">
        <v>96</v>
      </c>
      <c r="C12" t="s">
        <v>98</v>
      </c>
      <c r="D12" t="s">
        <v>99</v>
      </c>
      <c r="E12" t="s">
        <v>1180</v>
      </c>
      <c r="F12">
        <v>75270</v>
      </c>
      <c r="G12" t="s">
        <v>100</v>
      </c>
      <c r="H12" t="s">
        <v>99</v>
      </c>
      <c r="I12" t="s">
        <v>1180</v>
      </c>
      <c r="J12">
        <v>75270</v>
      </c>
      <c r="K12" t="s">
        <v>101</v>
      </c>
      <c r="L12" t="s">
        <v>102</v>
      </c>
      <c r="M12" t="s">
        <v>103</v>
      </c>
      <c r="N12">
        <v>25</v>
      </c>
      <c r="O12">
        <v>10000</v>
      </c>
      <c r="P12">
        <v>0</v>
      </c>
    </row>
    <row r="13" spans="1:16" x14ac:dyDescent="0.25">
      <c r="A13" t="s">
        <v>105</v>
      </c>
      <c r="B13" t="s">
        <v>104</v>
      </c>
      <c r="C13" t="s">
        <v>106</v>
      </c>
      <c r="D13" t="s">
        <v>107</v>
      </c>
      <c r="E13" t="s">
        <v>1178</v>
      </c>
      <c r="F13">
        <v>28117</v>
      </c>
      <c r="G13" t="s">
        <v>108</v>
      </c>
      <c r="H13" t="s">
        <v>107</v>
      </c>
      <c r="I13" t="s">
        <v>1178</v>
      </c>
      <c r="J13">
        <v>28117</v>
      </c>
      <c r="K13" t="s">
        <v>109</v>
      </c>
      <c r="L13" t="s">
        <v>110</v>
      </c>
      <c r="M13" t="s">
        <v>111</v>
      </c>
      <c r="N13">
        <v>24</v>
      </c>
      <c r="O13">
        <v>12000</v>
      </c>
      <c r="P13">
        <v>0</v>
      </c>
    </row>
    <row r="14" spans="1:16" x14ac:dyDescent="0.25">
      <c r="A14" t="s">
        <v>113</v>
      </c>
      <c r="B14" t="s">
        <v>112</v>
      </c>
      <c r="C14" t="s">
        <v>114</v>
      </c>
      <c r="D14" t="s">
        <v>115</v>
      </c>
      <c r="E14" t="s">
        <v>748</v>
      </c>
      <c r="F14">
        <v>95014</v>
      </c>
      <c r="G14" t="s">
        <v>116</v>
      </c>
      <c r="H14" t="s">
        <v>115</v>
      </c>
      <c r="I14" t="s">
        <v>748</v>
      </c>
      <c r="J14">
        <v>95014</v>
      </c>
      <c r="K14" t="s">
        <v>117</v>
      </c>
      <c r="L14" t="s">
        <v>118</v>
      </c>
      <c r="M14" t="s">
        <v>119</v>
      </c>
      <c r="N14">
        <v>31</v>
      </c>
      <c r="O14">
        <v>15000</v>
      </c>
      <c r="P14">
        <v>0</v>
      </c>
    </row>
    <row r="15" spans="1:16" x14ac:dyDescent="0.25">
      <c r="A15" t="s">
        <v>121</v>
      </c>
      <c r="B15" t="s">
        <v>120</v>
      </c>
      <c r="C15" t="s">
        <v>122</v>
      </c>
      <c r="D15" t="s">
        <v>123</v>
      </c>
      <c r="E15" t="s">
        <v>1179</v>
      </c>
      <c r="F15">
        <v>17011</v>
      </c>
      <c r="G15" t="s">
        <v>124</v>
      </c>
      <c r="H15" t="s">
        <v>123</v>
      </c>
      <c r="I15" t="s">
        <v>1179</v>
      </c>
      <c r="J15">
        <v>17011</v>
      </c>
      <c r="K15" t="s">
        <v>125</v>
      </c>
      <c r="L15" t="s">
        <v>126</v>
      </c>
      <c r="M15" t="s">
        <v>127</v>
      </c>
      <c r="N15">
        <v>23</v>
      </c>
      <c r="O15">
        <v>15000</v>
      </c>
      <c r="P15">
        <v>0</v>
      </c>
    </row>
    <row r="16" spans="1:16" x14ac:dyDescent="0.25">
      <c r="A16" t="s">
        <v>129</v>
      </c>
      <c r="B16" t="s">
        <v>128</v>
      </c>
      <c r="C16" t="s">
        <v>130</v>
      </c>
      <c r="D16" t="s">
        <v>131</v>
      </c>
      <c r="E16" t="s">
        <v>1175</v>
      </c>
      <c r="F16">
        <v>31093</v>
      </c>
      <c r="G16" t="s">
        <v>132</v>
      </c>
      <c r="H16" t="s">
        <v>131</v>
      </c>
      <c r="I16" t="s">
        <v>1175</v>
      </c>
      <c r="J16">
        <v>31093</v>
      </c>
      <c r="K16" t="s">
        <v>133</v>
      </c>
      <c r="L16" t="s">
        <v>134</v>
      </c>
      <c r="M16" t="s">
        <v>135</v>
      </c>
      <c r="N16">
        <v>29</v>
      </c>
      <c r="O16">
        <v>9000</v>
      </c>
      <c r="P16">
        <v>0</v>
      </c>
    </row>
    <row r="17" spans="1:16" x14ac:dyDescent="0.25">
      <c r="A17" t="s">
        <v>137</v>
      </c>
      <c r="B17" t="s">
        <v>136</v>
      </c>
      <c r="C17" t="s">
        <v>138</v>
      </c>
      <c r="D17" t="s">
        <v>139</v>
      </c>
      <c r="E17" t="s">
        <v>748</v>
      </c>
      <c r="F17">
        <v>91007</v>
      </c>
      <c r="G17" t="s">
        <v>140</v>
      </c>
      <c r="H17" t="s">
        <v>139</v>
      </c>
      <c r="I17" t="s">
        <v>748</v>
      </c>
      <c r="J17">
        <v>91007</v>
      </c>
      <c r="K17" t="s">
        <v>141</v>
      </c>
      <c r="L17" t="s">
        <v>142</v>
      </c>
      <c r="M17" t="s">
        <v>143</v>
      </c>
      <c r="N17">
        <v>34</v>
      </c>
      <c r="O17">
        <v>18000</v>
      </c>
      <c r="P17">
        <v>0</v>
      </c>
    </row>
    <row r="18" spans="1:16" x14ac:dyDescent="0.25">
      <c r="A18" t="s">
        <v>145</v>
      </c>
      <c r="B18" t="s">
        <v>144</v>
      </c>
      <c r="C18" t="s">
        <v>146</v>
      </c>
      <c r="D18" t="s">
        <v>147</v>
      </c>
      <c r="E18" t="s">
        <v>748</v>
      </c>
      <c r="F18">
        <v>90220</v>
      </c>
      <c r="G18" t="s">
        <v>148</v>
      </c>
      <c r="H18" t="s">
        <v>147</v>
      </c>
      <c r="I18" t="s">
        <v>748</v>
      </c>
      <c r="J18">
        <v>90220</v>
      </c>
      <c r="K18" t="s">
        <v>149</v>
      </c>
      <c r="L18" t="s">
        <v>150</v>
      </c>
      <c r="M18" t="s">
        <v>151</v>
      </c>
      <c r="N18">
        <v>28</v>
      </c>
      <c r="O18">
        <v>3000</v>
      </c>
      <c r="P18">
        <v>0</v>
      </c>
    </row>
    <row r="19" spans="1:16" x14ac:dyDescent="0.25">
      <c r="A19" t="s">
        <v>153</v>
      </c>
      <c r="B19" t="s">
        <v>152</v>
      </c>
      <c r="C19" t="s">
        <v>154</v>
      </c>
      <c r="D19" t="s">
        <v>155</v>
      </c>
      <c r="E19" t="s">
        <v>1170</v>
      </c>
      <c r="F19">
        <v>98134</v>
      </c>
      <c r="G19" t="s">
        <v>156</v>
      </c>
      <c r="H19" t="s">
        <v>155</v>
      </c>
      <c r="I19" t="s">
        <v>1170</v>
      </c>
      <c r="J19">
        <v>98134</v>
      </c>
      <c r="K19" t="s">
        <v>157</v>
      </c>
      <c r="L19" t="s">
        <v>158</v>
      </c>
      <c r="M19" t="s">
        <v>159</v>
      </c>
      <c r="N19">
        <v>22</v>
      </c>
      <c r="O19">
        <v>16000</v>
      </c>
      <c r="P19">
        <v>0</v>
      </c>
    </row>
    <row r="20" spans="1:16" x14ac:dyDescent="0.25">
      <c r="A20" t="s">
        <v>161</v>
      </c>
      <c r="B20" t="s">
        <v>160</v>
      </c>
      <c r="C20" t="s">
        <v>162</v>
      </c>
      <c r="D20" t="s">
        <v>163</v>
      </c>
      <c r="E20" t="s">
        <v>748</v>
      </c>
      <c r="F20">
        <v>90034</v>
      </c>
      <c r="G20" t="s">
        <v>164</v>
      </c>
      <c r="H20" t="s">
        <v>163</v>
      </c>
      <c r="I20" t="s">
        <v>748</v>
      </c>
      <c r="J20">
        <v>90034</v>
      </c>
      <c r="K20" t="s">
        <v>165</v>
      </c>
      <c r="L20" t="s">
        <v>166</v>
      </c>
      <c r="M20" t="s">
        <v>167</v>
      </c>
      <c r="N20">
        <v>27</v>
      </c>
      <c r="O20">
        <v>9000</v>
      </c>
      <c r="P20">
        <v>0</v>
      </c>
    </row>
    <row r="21" spans="1:16" x14ac:dyDescent="0.25">
      <c r="A21" t="s">
        <v>169</v>
      </c>
      <c r="B21" t="s">
        <v>168</v>
      </c>
      <c r="C21" t="s">
        <v>170</v>
      </c>
      <c r="D21" t="s">
        <v>171</v>
      </c>
      <c r="E21" t="s">
        <v>748</v>
      </c>
      <c r="F21">
        <v>90245</v>
      </c>
      <c r="G21" t="s">
        <v>172</v>
      </c>
      <c r="H21" t="s">
        <v>171</v>
      </c>
      <c r="I21" t="s">
        <v>748</v>
      </c>
      <c r="J21">
        <v>90245</v>
      </c>
      <c r="K21" t="s">
        <v>173</v>
      </c>
      <c r="L21" t="s">
        <v>174</v>
      </c>
      <c r="M21" t="s">
        <v>175</v>
      </c>
      <c r="N21">
        <v>24</v>
      </c>
      <c r="O21">
        <v>8000</v>
      </c>
      <c r="P21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S52"/>
  <sheetViews>
    <sheetView workbookViewId="0"/>
  </sheetViews>
  <sheetFormatPr defaultRowHeight="15" x14ac:dyDescent="0.25"/>
  <cols>
    <col min="1" max="1" width="38.28515625" customWidth="1"/>
    <col min="2" max="2" width="13.85546875" customWidth="1"/>
    <col min="3" max="3" width="21.85546875" customWidth="1"/>
    <col min="4" max="4" width="8.5703125" customWidth="1"/>
    <col min="5" max="5" width="11.140625" customWidth="1"/>
    <col min="6" max="6" width="8.28515625" customWidth="1"/>
    <col min="7" max="7" width="12.28515625" customWidth="1"/>
    <col min="8" max="8" width="11.85546875" customWidth="1"/>
    <col min="9" max="9" width="16.140625" customWidth="1"/>
    <col min="10" max="10" width="8.42578125" customWidth="1"/>
    <col min="11" max="11" width="14.140625" customWidth="1"/>
    <col min="12" max="12" width="15.28515625" customWidth="1"/>
    <col min="13" max="13" width="25.140625" customWidth="1"/>
    <col min="14" max="14" width="20.5703125" customWidth="1"/>
    <col min="15" max="15" width="11.7109375" customWidth="1"/>
    <col min="16" max="16" width="24.85546875" customWidth="1"/>
    <col min="17" max="17" width="19.28515625" customWidth="1"/>
    <col min="18" max="18" width="15.85546875" customWidth="1"/>
    <col min="19" max="19" width="18.5703125" customWidth="1"/>
  </cols>
  <sheetData>
    <row r="1" spans="1:19" x14ac:dyDescent="0.25">
      <c r="A1" t="s">
        <v>0</v>
      </c>
      <c r="B1" t="s">
        <v>176</v>
      </c>
      <c r="C1" t="s">
        <v>177</v>
      </c>
      <c r="D1" t="s">
        <v>15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</row>
    <row r="2" spans="1:19" hidden="1" x14ac:dyDescent="0.25">
      <c r="A2" t="s">
        <v>193</v>
      </c>
      <c r="B2">
        <v>2</v>
      </c>
      <c r="C2" t="s">
        <v>194</v>
      </c>
      <c r="D2">
        <v>0</v>
      </c>
      <c r="E2" s="1">
        <v>39889</v>
      </c>
      <c r="F2">
        <v>46</v>
      </c>
      <c r="G2" t="s">
        <v>195</v>
      </c>
      <c r="H2" t="s">
        <v>196</v>
      </c>
      <c r="I2" t="s">
        <v>197</v>
      </c>
      <c r="J2">
        <v>1</v>
      </c>
      <c r="K2" t="s">
        <v>198</v>
      </c>
      <c r="L2" t="s">
        <v>199</v>
      </c>
      <c r="M2" t="s">
        <v>200</v>
      </c>
      <c r="N2" t="s">
        <v>201</v>
      </c>
      <c r="O2" s="1">
        <v>32397</v>
      </c>
      <c r="P2" t="s">
        <v>202</v>
      </c>
      <c r="Q2" t="s">
        <v>163</v>
      </c>
      <c r="R2" t="s">
        <v>748</v>
      </c>
      <c r="S2">
        <v>90731</v>
      </c>
    </row>
    <row r="3" spans="1:19" x14ac:dyDescent="0.25">
      <c r="A3" t="s">
        <v>203</v>
      </c>
      <c r="B3">
        <v>1</v>
      </c>
      <c r="C3" t="s">
        <v>204</v>
      </c>
      <c r="D3">
        <v>0</v>
      </c>
      <c r="E3" s="1">
        <v>41040</v>
      </c>
      <c r="F3">
        <v>47</v>
      </c>
      <c r="G3" t="s">
        <v>205</v>
      </c>
      <c r="H3" t="s">
        <v>206</v>
      </c>
      <c r="I3" t="s">
        <v>207</v>
      </c>
      <c r="J3">
        <v>1</v>
      </c>
      <c r="K3" t="s">
        <v>208</v>
      </c>
      <c r="L3" t="s">
        <v>209</v>
      </c>
      <c r="M3" t="s">
        <v>210</v>
      </c>
      <c r="N3" t="s">
        <v>211</v>
      </c>
      <c r="O3" s="1">
        <v>33087</v>
      </c>
      <c r="P3" t="s">
        <v>212</v>
      </c>
      <c r="Q3" t="s">
        <v>163</v>
      </c>
      <c r="R3" t="s">
        <v>748</v>
      </c>
      <c r="S3">
        <v>90012</v>
      </c>
    </row>
    <row r="4" spans="1:19" hidden="1" x14ac:dyDescent="0.25">
      <c r="A4" t="s">
        <v>213</v>
      </c>
      <c r="B4">
        <v>6</v>
      </c>
      <c r="C4" t="s">
        <v>214</v>
      </c>
      <c r="D4">
        <v>0</v>
      </c>
      <c r="E4" s="1">
        <v>34714</v>
      </c>
      <c r="F4">
        <v>1</v>
      </c>
      <c r="G4" t="s">
        <v>215</v>
      </c>
      <c r="H4" t="s">
        <v>216</v>
      </c>
      <c r="I4" t="s">
        <v>217</v>
      </c>
      <c r="J4">
        <v>1</v>
      </c>
      <c r="K4" t="s">
        <v>218</v>
      </c>
      <c r="L4" t="s">
        <v>219</v>
      </c>
      <c r="M4" t="s">
        <v>220</v>
      </c>
      <c r="N4" t="s">
        <v>221</v>
      </c>
      <c r="O4" s="1">
        <v>23452</v>
      </c>
      <c r="P4" t="s">
        <v>222</v>
      </c>
      <c r="Q4" t="s">
        <v>163</v>
      </c>
      <c r="R4" t="s">
        <v>748</v>
      </c>
      <c r="S4">
        <v>90013</v>
      </c>
    </row>
    <row r="5" spans="1:19" hidden="1" x14ac:dyDescent="0.25">
      <c r="A5" t="s">
        <v>223</v>
      </c>
      <c r="B5">
        <v>6</v>
      </c>
      <c r="C5" t="s">
        <v>224</v>
      </c>
      <c r="D5">
        <v>0</v>
      </c>
      <c r="E5" s="1">
        <v>38131</v>
      </c>
      <c r="F5">
        <v>2</v>
      </c>
      <c r="G5" t="s">
        <v>225</v>
      </c>
      <c r="H5" t="s">
        <v>226</v>
      </c>
      <c r="I5" t="s">
        <v>227</v>
      </c>
      <c r="J5">
        <v>0</v>
      </c>
      <c r="K5" t="s">
        <v>228</v>
      </c>
      <c r="L5" t="s">
        <v>229</v>
      </c>
      <c r="M5" t="s">
        <v>230</v>
      </c>
      <c r="N5" t="s">
        <v>231</v>
      </c>
      <c r="O5" s="1">
        <v>24229</v>
      </c>
      <c r="P5" t="s">
        <v>232</v>
      </c>
      <c r="Q5" t="s">
        <v>163</v>
      </c>
      <c r="R5" t="s">
        <v>748</v>
      </c>
      <c r="S5">
        <v>90036</v>
      </c>
    </row>
    <row r="6" spans="1:19" hidden="1" x14ac:dyDescent="0.25">
      <c r="A6" t="s">
        <v>233</v>
      </c>
      <c r="B6">
        <v>6</v>
      </c>
      <c r="C6" t="s">
        <v>234</v>
      </c>
      <c r="D6">
        <v>0</v>
      </c>
      <c r="E6" s="1">
        <v>39434</v>
      </c>
      <c r="F6">
        <v>3</v>
      </c>
      <c r="G6" t="s">
        <v>235</v>
      </c>
      <c r="H6" t="s">
        <v>236</v>
      </c>
      <c r="I6" t="s">
        <v>237</v>
      </c>
      <c r="J6">
        <v>1</v>
      </c>
      <c r="K6" t="s">
        <v>238</v>
      </c>
      <c r="L6" t="s">
        <v>239</v>
      </c>
      <c r="M6" t="s">
        <v>240</v>
      </c>
      <c r="N6" t="s">
        <v>241</v>
      </c>
      <c r="O6" s="1">
        <v>26491</v>
      </c>
      <c r="P6" t="s">
        <v>242</v>
      </c>
      <c r="Q6" t="s">
        <v>163</v>
      </c>
      <c r="R6" t="s">
        <v>748</v>
      </c>
      <c r="S6">
        <v>90031</v>
      </c>
    </row>
    <row r="7" spans="1:19" hidden="1" x14ac:dyDescent="0.25">
      <c r="A7" t="s">
        <v>243</v>
      </c>
      <c r="B7">
        <v>6</v>
      </c>
      <c r="C7" t="s">
        <v>244</v>
      </c>
      <c r="D7">
        <v>0</v>
      </c>
      <c r="E7" s="1">
        <v>37568</v>
      </c>
      <c r="F7">
        <v>4</v>
      </c>
      <c r="G7" t="s">
        <v>245</v>
      </c>
      <c r="H7" t="s">
        <v>246</v>
      </c>
      <c r="I7" t="s">
        <v>247</v>
      </c>
      <c r="J7">
        <v>1</v>
      </c>
      <c r="K7" t="s">
        <v>248</v>
      </c>
      <c r="L7" t="s">
        <v>249</v>
      </c>
      <c r="M7" t="s">
        <v>250</v>
      </c>
      <c r="N7" t="s">
        <v>251</v>
      </c>
      <c r="O7" s="1">
        <v>27279</v>
      </c>
      <c r="P7" t="s">
        <v>252</v>
      </c>
      <c r="Q7" t="s">
        <v>253</v>
      </c>
      <c r="R7" t="s">
        <v>748</v>
      </c>
      <c r="S7">
        <v>91103</v>
      </c>
    </row>
    <row r="8" spans="1:19" hidden="1" x14ac:dyDescent="0.25">
      <c r="A8" t="s">
        <v>254</v>
      </c>
      <c r="B8">
        <v>5</v>
      </c>
      <c r="C8" t="s">
        <v>255</v>
      </c>
      <c r="D8">
        <v>2</v>
      </c>
      <c r="E8" s="1">
        <v>35908</v>
      </c>
      <c r="F8">
        <v>5</v>
      </c>
      <c r="G8" t="s">
        <v>256</v>
      </c>
      <c r="H8" t="s">
        <v>257</v>
      </c>
      <c r="I8" t="s">
        <v>258</v>
      </c>
      <c r="J8">
        <v>2</v>
      </c>
      <c r="K8" t="s">
        <v>259</v>
      </c>
      <c r="L8" t="s">
        <v>260</v>
      </c>
      <c r="M8" t="s">
        <v>261</v>
      </c>
      <c r="N8" t="s">
        <v>262</v>
      </c>
      <c r="O8" s="1">
        <v>28451</v>
      </c>
      <c r="P8" t="s">
        <v>263</v>
      </c>
      <c r="Q8" t="s">
        <v>264</v>
      </c>
      <c r="R8" t="s">
        <v>748</v>
      </c>
      <c r="S8">
        <v>91803</v>
      </c>
    </row>
    <row r="9" spans="1:19" hidden="1" x14ac:dyDescent="0.25">
      <c r="A9" t="s">
        <v>265</v>
      </c>
      <c r="B9">
        <v>7</v>
      </c>
      <c r="C9" t="s">
        <v>266</v>
      </c>
      <c r="D9">
        <v>2</v>
      </c>
      <c r="E9" s="1">
        <v>39878</v>
      </c>
      <c r="F9">
        <v>6</v>
      </c>
      <c r="G9" t="s">
        <v>267</v>
      </c>
      <c r="H9" t="s">
        <v>268</v>
      </c>
      <c r="I9" t="s">
        <v>269</v>
      </c>
      <c r="J9">
        <v>1</v>
      </c>
      <c r="K9" t="s">
        <v>270</v>
      </c>
      <c r="L9" t="s">
        <v>271</v>
      </c>
      <c r="M9" t="s">
        <v>272</v>
      </c>
      <c r="N9" t="s">
        <v>273</v>
      </c>
      <c r="O9" s="1">
        <v>25173</v>
      </c>
      <c r="P9" t="s">
        <v>274</v>
      </c>
      <c r="Q9" t="s">
        <v>275</v>
      </c>
      <c r="R9" t="s">
        <v>748</v>
      </c>
      <c r="S9">
        <v>91108</v>
      </c>
    </row>
    <row r="10" spans="1:19" hidden="1" x14ac:dyDescent="0.25">
      <c r="A10" t="s">
        <v>276</v>
      </c>
      <c r="B10">
        <v>5</v>
      </c>
      <c r="C10" t="s">
        <v>277</v>
      </c>
      <c r="D10">
        <v>2</v>
      </c>
      <c r="E10" s="1">
        <v>38483</v>
      </c>
      <c r="F10">
        <v>7</v>
      </c>
      <c r="G10" t="s">
        <v>278</v>
      </c>
      <c r="H10" t="s">
        <v>279</v>
      </c>
      <c r="I10" t="s">
        <v>280</v>
      </c>
      <c r="J10">
        <v>4</v>
      </c>
      <c r="K10" t="s">
        <v>281</v>
      </c>
      <c r="L10" t="s">
        <v>282</v>
      </c>
      <c r="M10" t="s">
        <v>283</v>
      </c>
      <c r="N10" t="s">
        <v>284</v>
      </c>
      <c r="O10" s="1">
        <v>27348</v>
      </c>
      <c r="P10" t="s">
        <v>285</v>
      </c>
      <c r="Q10" t="s">
        <v>286</v>
      </c>
      <c r="R10" t="s">
        <v>748</v>
      </c>
      <c r="S10">
        <v>90807</v>
      </c>
    </row>
    <row r="11" spans="1:19" x14ac:dyDescent="0.25">
      <c r="A11" t="s">
        <v>287</v>
      </c>
      <c r="B11">
        <v>1</v>
      </c>
      <c r="C11" t="s">
        <v>288</v>
      </c>
      <c r="D11">
        <v>4</v>
      </c>
      <c r="E11" s="1">
        <v>38522</v>
      </c>
      <c r="F11">
        <v>8</v>
      </c>
      <c r="G11" t="s">
        <v>289</v>
      </c>
      <c r="H11" t="s">
        <v>290</v>
      </c>
      <c r="I11" t="s">
        <v>291</v>
      </c>
      <c r="J11">
        <v>0</v>
      </c>
      <c r="K11" t="s">
        <v>292</v>
      </c>
      <c r="L11" t="s">
        <v>293</v>
      </c>
      <c r="M11" t="s">
        <v>294</v>
      </c>
      <c r="N11" t="s">
        <v>295</v>
      </c>
      <c r="O11" s="1">
        <v>26859</v>
      </c>
      <c r="P11" t="s">
        <v>296</v>
      </c>
      <c r="Q11" t="s">
        <v>297</v>
      </c>
      <c r="R11" t="s">
        <v>748</v>
      </c>
      <c r="S11">
        <v>90265</v>
      </c>
    </row>
    <row r="12" spans="1:19" hidden="1" x14ac:dyDescent="0.25">
      <c r="A12" t="s">
        <v>298</v>
      </c>
      <c r="B12">
        <v>2</v>
      </c>
      <c r="C12" t="s">
        <v>299</v>
      </c>
      <c r="D12">
        <v>4</v>
      </c>
      <c r="E12" s="1">
        <v>37475</v>
      </c>
      <c r="F12">
        <v>9</v>
      </c>
      <c r="G12" t="s">
        <v>300</v>
      </c>
      <c r="H12" t="s">
        <v>301</v>
      </c>
      <c r="I12" t="s">
        <v>302</v>
      </c>
      <c r="J12">
        <v>4</v>
      </c>
      <c r="K12" t="s">
        <v>303</v>
      </c>
      <c r="L12" t="s">
        <v>304</v>
      </c>
      <c r="M12" t="s">
        <v>305</v>
      </c>
      <c r="N12" t="s">
        <v>306</v>
      </c>
      <c r="O12" s="1">
        <v>28959</v>
      </c>
      <c r="P12" t="s">
        <v>307</v>
      </c>
      <c r="Q12" t="s">
        <v>308</v>
      </c>
      <c r="R12" t="s">
        <v>748</v>
      </c>
      <c r="S12">
        <v>90272</v>
      </c>
    </row>
    <row r="13" spans="1:19" hidden="1" x14ac:dyDescent="0.25">
      <c r="A13" t="s">
        <v>309</v>
      </c>
      <c r="B13">
        <v>3</v>
      </c>
      <c r="C13" t="s">
        <v>310</v>
      </c>
      <c r="D13">
        <v>0</v>
      </c>
      <c r="E13" s="1">
        <v>40036</v>
      </c>
      <c r="F13">
        <v>10</v>
      </c>
      <c r="G13" t="s">
        <v>311</v>
      </c>
      <c r="H13" t="s">
        <v>312</v>
      </c>
      <c r="I13" t="s">
        <v>313</v>
      </c>
      <c r="J13">
        <v>1</v>
      </c>
      <c r="K13" t="s">
        <v>314</v>
      </c>
      <c r="L13" t="s">
        <v>315</v>
      </c>
      <c r="M13" t="s">
        <v>316</v>
      </c>
      <c r="N13" t="s">
        <v>317</v>
      </c>
      <c r="O13" s="1">
        <v>28499</v>
      </c>
      <c r="P13" t="s">
        <v>318</v>
      </c>
      <c r="Q13" t="s">
        <v>163</v>
      </c>
      <c r="R13" t="s">
        <v>748</v>
      </c>
      <c r="S13">
        <v>90012</v>
      </c>
    </row>
    <row r="14" spans="1:19" hidden="1" x14ac:dyDescent="0.25">
      <c r="A14" t="s">
        <v>319</v>
      </c>
      <c r="B14">
        <v>5</v>
      </c>
      <c r="C14" t="s">
        <v>320</v>
      </c>
      <c r="D14">
        <v>0</v>
      </c>
      <c r="E14" s="1">
        <v>39531</v>
      </c>
      <c r="F14">
        <v>11</v>
      </c>
      <c r="G14" t="s">
        <v>321</v>
      </c>
      <c r="H14" t="s">
        <v>322</v>
      </c>
      <c r="I14" t="s">
        <v>323</v>
      </c>
      <c r="J14">
        <v>2</v>
      </c>
      <c r="K14" t="s">
        <v>324</v>
      </c>
      <c r="L14" t="s">
        <v>325</v>
      </c>
      <c r="M14" t="s">
        <v>326</v>
      </c>
      <c r="N14" t="s">
        <v>327</v>
      </c>
      <c r="O14" s="1">
        <v>31203</v>
      </c>
      <c r="P14" t="s">
        <v>328</v>
      </c>
      <c r="Q14" t="s">
        <v>329</v>
      </c>
      <c r="R14" t="s">
        <v>748</v>
      </c>
      <c r="S14">
        <v>91208</v>
      </c>
    </row>
    <row r="15" spans="1:19" x14ac:dyDescent="0.25">
      <c r="A15" t="s">
        <v>330</v>
      </c>
      <c r="B15">
        <v>1</v>
      </c>
      <c r="C15" t="s">
        <v>204</v>
      </c>
      <c r="D15">
        <v>0</v>
      </c>
      <c r="E15" s="1">
        <v>40940</v>
      </c>
      <c r="F15">
        <v>12</v>
      </c>
      <c r="G15" t="s">
        <v>331</v>
      </c>
      <c r="H15" t="s">
        <v>332</v>
      </c>
      <c r="I15" t="s">
        <v>333</v>
      </c>
      <c r="J15">
        <v>1</v>
      </c>
      <c r="K15" t="s">
        <v>334</v>
      </c>
      <c r="L15" t="s">
        <v>335</v>
      </c>
      <c r="M15" t="s">
        <v>336</v>
      </c>
      <c r="N15" t="s">
        <v>337</v>
      </c>
      <c r="O15" s="1">
        <v>30729</v>
      </c>
      <c r="P15" t="s">
        <v>338</v>
      </c>
      <c r="Q15" t="s">
        <v>253</v>
      </c>
      <c r="R15" t="s">
        <v>748</v>
      </c>
      <c r="S15">
        <v>91103</v>
      </c>
    </row>
    <row r="16" spans="1:19" hidden="1" x14ac:dyDescent="0.25">
      <c r="A16" t="s">
        <v>339</v>
      </c>
      <c r="B16">
        <v>3</v>
      </c>
      <c r="C16" t="s">
        <v>340</v>
      </c>
      <c r="D16">
        <v>0</v>
      </c>
      <c r="E16" s="1">
        <v>40657</v>
      </c>
      <c r="F16">
        <v>13</v>
      </c>
      <c r="G16" t="s">
        <v>341</v>
      </c>
      <c r="H16" t="s">
        <v>342</v>
      </c>
      <c r="I16" t="s">
        <v>343</v>
      </c>
      <c r="J16">
        <v>1</v>
      </c>
      <c r="K16" t="s">
        <v>344</v>
      </c>
      <c r="L16" t="s">
        <v>345</v>
      </c>
      <c r="M16" t="s">
        <v>346</v>
      </c>
      <c r="N16" t="s">
        <v>347</v>
      </c>
      <c r="O16" s="1">
        <v>30381</v>
      </c>
      <c r="P16" t="s">
        <v>348</v>
      </c>
      <c r="Q16" t="s">
        <v>253</v>
      </c>
      <c r="R16" t="s">
        <v>748</v>
      </c>
      <c r="S16">
        <v>91184</v>
      </c>
    </row>
    <row r="17" spans="1:19" hidden="1" x14ac:dyDescent="0.25">
      <c r="A17" t="s">
        <v>349</v>
      </c>
      <c r="B17">
        <v>3</v>
      </c>
      <c r="C17" t="s">
        <v>340</v>
      </c>
      <c r="D17">
        <v>0</v>
      </c>
      <c r="E17" s="1">
        <v>41113</v>
      </c>
      <c r="F17">
        <v>14</v>
      </c>
      <c r="G17" t="s">
        <v>350</v>
      </c>
      <c r="H17" t="s">
        <v>351</v>
      </c>
      <c r="I17" t="s">
        <v>352</v>
      </c>
      <c r="J17">
        <v>1</v>
      </c>
      <c r="K17" t="s">
        <v>353</v>
      </c>
      <c r="L17" t="s">
        <v>354</v>
      </c>
      <c r="M17" t="s">
        <v>355</v>
      </c>
      <c r="N17" t="s">
        <v>356</v>
      </c>
      <c r="O17" s="1">
        <v>31616</v>
      </c>
      <c r="P17" t="s">
        <v>357</v>
      </c>
      <c r="Q17" t="s">
        <v>163</v>
      </c>
      <c r="R17" t="s">
        <v>748</v>
      </c>
      <c r="S17">
        <v>90017</v>
      </c>
    </row>
    <row r="18" spans="1:19" hidden="1" x14ac:dyDescent="0.25">
      <c r="A18" t="s">
        <v>358</v>
      </c>
      <c r="B18">
        <v>3</v>
      </c>
      <c r="C18" t="s">
        <v>340</v>
      </c>
      <c r="D18">
        <v>0</v>
      </c>
      <c r="E18" s="1">
        <v>41133</v>
      </c>
      <c r="F18">
        <v>15</v>
      </c>
      <c r="G18" t="s">
        <v>359</v>
      </c>
      <c r="H18" t="s">
        <v>360</v>
      </c>
      <c r="I18" t="s">
        <v>361</v>
      </c>
      <c r="J18">
        <v>2</v>
      </c>
      <c r="K18" t="s">
        <v>362</v>
      </c>
      <c r="L18" t="s">
        <v>363</v>
      </c>
      <c r="M18" t="s">
        <v>364</v>
      </c>
      <c r="N18" t="s">
        <v>365</v>
      </c>
      <c r="O18" s="1">
        <v>30049</v>
      </c>
      <c r="P18" t="s">
        <v>366</v>
      </c>
      <c r="Q18" t="s">
        <v>329</v>
      </c>
      <c r="R18" t="s">
        <v>748</v>
      </c>
      <c r="S18">
        <v>91206</v>
      </c>
    </row>
    <row r="19" spans="1:19" hidden="1" x14ac:dyDescent="0.25">
      <c r="A19" t="s">
        <v>367</v>
      </c>
      <c r="B19">
        <v>3</v>
      </c>
      <c r="C19" t="s">
        <v>340</v>
      </c>
      <c r="D19">
        <v>0</v>
      </c>
      <c r="E19" s="1">
        <v>41153</v>
      </c>
      <c r="F19">
        <v>16</v>
      </c>
      <c r="G19" t="s">
        <v>368</v>
      </c>
      <c r="H19" t="s">
        <v>369</v>
      </c>
      <c r="I19" t="s">
        <v>370</v>
      </c>
      <c r="J19">
        <v>4</v>
      </c>
      <c r="K19" t="s">
        <v>371</v>
      </c>
      <c r="L19" t="s">
        <v>372</v>
      </c>
      <c r="M19" t="s">
        <v>373</v>
      </c>
      <c r="N19" t="s">
        <v>374</v>
      </c>
      <c r="O19" s="1">
        <v>29749</v>
      </c>
      <c r="P19" t="s">
        <v>375</v>
      </c>
      <c r="Q19" t="s">
        <v>163</v>
      </c>
      <c r="R19" t="s">
        <v>748</v>
      </c>
      <c r="S19">
        <v>90012</v>
      </c>
    </row>
    <row r="20" spans="1:19" hidden="1" x14ac:dyDescent="0.25">
      <c r="A20" t="s">
        <v>376</v>
      </c>
      <c r="B20">
        <v>2</v>
      </c>
      <c r="C20" t="s">
        <v>194</v>
      </c>
      <c r="D20">
        <v>0</v>
      </c>
      <c r="E20" s="1">
        <v>41195</v>
      </c>
      <c r="F20">
        <v>17</v>
      </c>
      <c r="G20" t="s">
        <v>377</v>
      </c>
      <c r="H20" t="s">
        <v>378</v>
      </c>
      <c r="I20" t="s">
        <v>379</v>
      </c>
      <c r="J20">
        <v>2</v>
      </c>
      <c r="K20" t="s">
        <v>380</v>
      </c>
      <c r="L20" t="s">
        <v>381</v>
      </c>
      <c r="M20" t="s">
        <v>382</v>
      </c>
      <c r="N20" t="s">
        <v>383</v>
      </c>
      <c r="O20" s="1">
        <v>32274</v>
      </c>
      <c r="P20" t="s">
        <v>384</v>
      </c>
      <c r="Q20" t="s">
        <v>329</v>
      </c>
      <c r="R20" t="s">
        <v>748</v>
      </c>
      <c r="S20">
        <v>91201</v>
      </c>
    </row>
    <row r="21" spans="1:19" hidden="1" x14ac:dyDescent="0.25">
      <c r="A21" t="s">
        <v>385</v>
      </c>
      <c r="B21">
        <v>2</v>
      </c>
      <c r="C21" t="s">
        <v>194</v>
      </c>
      <c r="D21">
        <v>0</v>
      </c>
      <c r="E21" s="1">
        <v>41200</v>
      </c>
      <c r="F21">
        <v>18</v>
      </c>
      <c r="G21" t="s">
        <v>386</v>
      </c>
      <c r="H21" t="s">
        <v>387</v>
      </c>
      <c r="I21" t="s">
        <v>388</v>
      </c>
      <c r="J21">
        <v>1</v>
      </c>
      <c r="K21" t="s">
        <v>389</v>
      </c>
      <c r="L21" t="s">
        <v>390</v>
      </c>
      <c r="M21" t="s">
        <v>391</v>
      </c>
      <c r="N21" t="s">
        <v>392</v>
      </c>
      <c r="O21" s="1">
        <v>31806</v>
      </c>
      <c r="P21" t="s">
        <v>393</v>
      </c>
      <c r="Q21" t="s">
        <v>163</v>
      </c>
      <c r="R21" t="s">
        <v>748</v>
      </c>
      <c r="S21">
        <v>90027</v>
      </c>
    </row>
    <row r="22" spans="1:19" hidden="1" x14ac:dyDescent="0.25">
      <c r="A22" t="s">
        <v>394</v>
      </c>
      <c r="B22">
        <v>2</v>
      </c>
      <c r="C22" t="s">
        <v>194</v>
      </c>
      <c r="D22">
        <v>0</v>
      </c>
      <c r="E22" s="1">
        <v>41293</v>
      </c>
      <c r="F22">
        <v>19</v>
      </c>
      <c r="G22" t="s">
        <v>395</v>
      </c>
      <c r="H22" t="s">
        <v>396</v>
      </c>
      <c r="I22" t="s">
        <v>397</v>
      </c>
      <c r="J22">
        <v>1</v>
      </c>
      <c r="K22" t="s">
        <v>398</v>
      </c>
      <c r="L22" t="s">
        <v>399</v>
      </c>
      <c r="M22" t="s">
        <v>400</v>
      </c>
      <c r="N22" t="s">
        <v>401</v>
      </c>
      <c r="O22" s="1">
        <v>31462</v>
      </c>
      <c r="P22" t="s">
        <v>402</v>
      </c>
      <c r="Q22" t="s">
        <v>403</v>
      </c>
      <c r="R22" t="s">
        <v>748</v>
      </c>
      <c r="S22">
        <v>90731</v>
      </c>
    </row>
    <row r="23" spans="1:19" x14ac:dyDescent="0.25">
      <c r="A23" t="s">
        <v>404</v>
      </c>
      <c r="B23">
        <v>1</v>
      </c>
      <c r="C23" t="s">
        <v>204</v>
      </c>
      <c r="D23">
        <v>0</v>
      </c>
      <c r="E23" s="1">
        <v>41043</v>
      </c>
      <c r="F23">
        <v>20</v>
      </c>
      <c r="G23" t="s">
        <v>405</v>
      </c>
      <c r="H23" t="s">
        <v>406</v>
      </c>
      <c r="I23" t="s">
        <v>407</v>
      </c>
      <c r="J23">
        <v>4</v>
      </c>
      <c r="K23" t="s">
        <v>408</v>
      </c>
      <c r="L23" t="s">
        <v>409</v>
      </c>
      <c r="M23" t="s">
        <v>410</v>
      </c>
      <c r="N23" t="s">
        <v>411</v>
      </c>
      <c r="O23" s="1">
        <v>29740</v>
      </c>
      <c r="P23" t="s">
        <v>412</v>
      </c>
      <c r="Q23" t="s">
        <v>403</v>
      </c>
      <c r="R23" t="s">
        <v>748</v>
      </c>
      <c r="S23">
        <v>90731</v>
      </c>
    </row>
    <row r="24" spans="1:19" hidden="1" x14ac:dyDescent="0.25">
      <c r="A24" t="s">
        <v>413</v>
      </c>
      <c r="B24">
        <v>7</v>
      </c>
      <c r="C24" t="s">
        <v>414</v>
      </c>
      <c r="D24">
        <v>0</v>
      </c>
      <c r="E24" s="1">
        <v>41013</v>
      </c>
      <c r="F24">
        <v>21</v>
      </c>
      <c r="G24" t="s">
        <v>415</v>
      </c>
      <c r="H24" t="s">
        <v>416</v>
      </c>
      <c r="I24" t="s">
        <v>417</v>
      </c>
      <c r="J24">
        <v>1</v>
      </c>
      <c r="K24" t="s">
        <v>418</v>
      </c>
      <c r="L24" t="s">
        <v>419</v>
      </c>
      <c r="M24" t="s">
        <v>420</v>
      </c>
      <c r="N24" t="s">
        <v>421</v>
      </c>
      <c r="O24" s="1">
        <v>30177</v>
      </c>
      <c r="P24" t="s">
        <v>422</v>
      </c>
      <c r="Q24" t="s">
        <v>423</v>
      </c>
      <c r="R24" t="s">
        <v>748</v>
      </c>
      <c r="S24">
        <v>90046</v>
      </c>
    </row>
    <row r="25" spans="1:19" hidden="1" x14ac:dyDescent="0.25">
      <c r="A25" t="s">
        <v>424</v>
      </c>
      <c r="B25">
        <v>7</v>
      </c>
      <c r="C25" t="s">
        <v>414</v>
      </c>
      <c r="D25">
        <v>0</v>
      </c>
      <c r="E25" s="1">
        <v>40584</v>
      </c>
      <c r="F25">
        <v>22</v>
      </c>
      <c r="G25" t="s">
        <v>425</v>
      </c>
      <c r="H25" t="s">
        <v>426</v>
      </c>
      <c r="I25" t="s">
        <v>427</v>
      </c>
      <c r="J25">
        <v>4</v>
      </c>
      <c r="K25" t="s">
        <v>428</v>
      </c>
      <c r="L25" t="s">
        <v>429</v>
      </c>
      <c r="M25" t="s">
        <v>430</v>
      </c>
      <c r="N25" t="s">
        <v>431</v>
      </c>
      <c r="O25" s="1">
        <v>30639</v>
      </c>
      <c r="P25" t="s">
        <v>432</v>
      </c>
      <c r="Q25" t="s">
        <v>163</v>
      </c>
      <c r="R25" t="s">
        <v>748</v>
      </c>
      <c r="S25">
        <v>90014</v>
      </c>
    </row>
    <row r="26" spans="1:19" hidden="1" x14ac:dyDescent="0.25">
      <c r="A26" t="s">
        <v>433</v>
      </c>
      <c r="B26">
        <v>7</v>
      </c>
      <c r="C26" t="s">
        <v>434</v>
      </c>
      <c r="D26">
        <v>0</v>
      </c>
      <c r="E26" s="1">
        <v>40591</v>
      </c>
      <c r="F26">
        <v>23</v>
      </c>
      <c r="G26" t="s">
        <v>435</v>
      </c>
      <c r="H26" t="s">
        <v>436</v>
      </c>
      <c r="I26" t="s">
        <v>437</v>
      </c>
      <c r="J26">
        <v>1</v>
      </c>
      <c r="K26" t="s">
        <v>438</v>
      </c>
      <c r="L26" t="s">
        <v>439</v>
      </c>
      <c r="M26" t="s">
        <v>440</v>
      </c>
      <c r="N26" t="s">
        <v>441</v>
      </c>
      <c r="O26" s="1">
        <v>31040</v>
      </c>
      <c r="P26" t="s">
        <v>442</v>
      </c>
      <c r="Q26" t="s">
        <v>443</v>
      </c>
      <c r="R26" t="s">
        <v>748</v>
      </c>
      <c r="S26">
        <v>91311</v>
      </c>
    </row>
    <row r="27" spans="1:19" hidden="1" x14ac:dyDescent="0.25">
      <c r="A27" t="s">
        <v>444</v>
      </c>
      <c r="B27">
        <v>7</v>
      </c>
      <c r="C27" t="s">
        <v>434</v>
      </c>
      <c r="D27">
        <v>0</v>
      </c>
      <c r="E27" s="1">
        <v>40604</v>
      </c>
      <c r="F27">
        <v>24</v>
      </c>
      <c r="G27" t="s">
        <v>445</v>
      </c>
      <c r="H27" t="s">
        <v>446</v>
      </c>
      <c r="I27" t="s">
        <v>447</v>
      </c>
      <c r="J27">
        <v>1</v>
      </c>
      <c r="K27" t="s">
        <v>448</v>
      </c>
      <c r="L27" t="s">
        <v>449</v>
      </c>
      <c r="M27" t="s">
        <v>450</v>
      </c>
      <c r="N27" t="s">
        <v>451</v>
      </c>
      <c r="O27" s="1">
        <v>32428</v>
      </c>
      <c r="P27" t="s">
        <v>452</v>
      </c>
      <c r="Q27" t="s">
        <v>453</v>
      </c>
      <c r="R27" t="s">
        <v>748</v>
      </c>
      <c r="S27">
        <v>91340</v>
      </c>
    </row>
    <row r="28" spans="1:19" hidden="1" x14ac:dyDescent="0.25">
      <c r="A28" t="s">
        <v>454</v>
      </c>
      <c r="B28">
        <v>7</v>
      </c>
      <c r="C28" t="s">
        <v>434</v>
      </c>
      <c r="D28">
        <v>0</v>
      </c>
      <c r="E28" s="1">
        <v>40616</v>
      </c>
      <c r="F28">
        <v>25</v>
      </c>
      <c r="G28" t="s">
        <v>455</v>
      </c>
      <c r="H28" t="s">
        <v>456</v>
      </c>
      <c r="I28" t="s">
        <v>457</v>
      </c>
      <c r="J28">
        <v>3</v>
      </c>
      <c r="K28" t="s">
        <v>458</v>
      </c>
      <c r="L28" t="s">
        <v>459</v>
      </c>
      <c r="M28" t="s">
        <v>460</v>
      </c>
      <c r="N28" t="s">
        <v>461</v>
      </c>
      <c r="O28" s="1">
        <v>31893</v>
      </c>
      <c r="P28" t="s">
        <v>462</v>
      </c>
      <c r="Q28" t="s">
        <v>463</v>
      </c>
      <c r="R28" t="s">
        <v>748</v>
      </c>
      <c r="S28">
        <v>91030</v>
      </c>
    </row>
    <row r="29" spans="1:19" hidden="1" x14ac:dyDescent="0.25">
      <c r="A29" t="s">
        <v>464</v>
      </c>
      <c r="B29">
        <v>5</v>
      </c>
      <c r="C29" t="s">
        <v>465</v>
      </c>
      <c r="D29">
        <v>0</v>
      </c>
      <c r="E29" s="1">
        <v>38491</v>
      </c>
      <c r="F29">
        <v>26</v>
      </c>
      <c r="G29" t="s">
        <v>466</v>
      </c>
      <c r="H29" t="s">
        <v>467</v>
      </c>
      <c r="I29" t="s">
        <v>468</v>
      </c>
      <c r="J29">
        <v>1</v>
      </c>
      <c r="K29" t="s">
        <v>469</v>
      </c>
      <c r="L29" t="s">
        <v>470</v>
      </c>
      <c r="M29" t="s">
        <v>471</v>
      </c>
      <c r="N29" t="s">
        <v>472</v>
      </c>
      <c r="O29" s="1">
        <v>30012</v>
      </c>
      <c r="P29" t="s">
        <v>473</v>
      </c>
      <c r="Q29" t="s">
        <v>163</v>
      </c>
      <c r="R29" t="s">
        <v>748</v>
      </c>
      <c r="S29">
        <v>90012</v>
      </c>
    </row>
    <row r="30" spans="1:19" hidden="1" x14ac:dyDescent="0.25">
      <c r="A30" t="s">
        <v>474</v>
      </c>
      <c r="B30">
        <v>5</v>
      </c>
      <c r="C30" t="s">
        <v>475</v>
      </c>
      <c r="D30">
        <v>0</v>
      </c>
      <c r="E30" s="1">
        <v>38507</v>
      </c>
      <c r="F30">
        <v>27</v>
      </c>
      <c r="G30" t="s">
        <v>278</v>
      </c>
      <c r="H30" t="s">
        <v>226</v>
      </c>
      <c r="I30" t="s">
        <v>476</v>
      </c>
      <c r="J30">
        <v>2</v>
      </c>
      <c r="K30" t="s">
        <v>477</v>
      </c>
      <c r="L30" t="s">
        <v>478</v>
      </c>
      <c r="M30" t="s">
        <v>479</v>
      </c>
      <c r="N30" t="s">
        <v>480</v>
      </c>
      <c r="O30" s="1">
        <v>30570</v>
      </c>
      <c r="P30" t="s">
        <v>481</v>
      </c>
      <c r="Q30" t="s">
        <v>482</v>
      </c>
      <c r="R30" t="s">
        <v>748</v>
      </c>
      <c r="S30">
        <v>91042</v>
      </c>
    </row>
    <row r="31" spans="1:19" hidden="1" x14ac:dyDescent="0.25">
      <c r="A31" t="s">
        <v>483</v>
      </c>
      <c r="B31">
        <v>7</v>
      </c>
      <c r="C31" t="s">
        <v>484</v>
      </c>
      <c r="D31">
        <v>0</v>
      </c>
      <c r="E31" s="1">
        <v>40919</v>
      </c>
      <c r="F31">
        <v>28</v>
      </c>
      <c r="G31" t="s">
        <v>485</v>
      </c>
      <c r="H31" t="s">
        <v>486</v>
      </c>
      <c r="I31" t="s">
        <v>487</v>
      </c>
      <c r="J31">
        <v>4</v>
      </c>
      <c r="K31" t="s">
        <v>488</v>
      </c>
      <c r="L31" t="s">
        <v>489</v>
      </c>
      <c r="M31" t="s">
        <v>490</v>
      </c>
      <c r="N31" t="s">
        <v>491</v>
      </c>
      <c r="O31" s="1">
        <v>30880</v>
      </c>
      <c r="P31" t="s">
        <v>492</v>
      </c>
      <c r="Q31" t="s">
        <v>493</v>
      </c>
      <c r="R31" t="s">
        <v>748</v>
      </c>
      <c r="S31">
        <v>91604</v>
      </c>
    </row>
    <row r="32" spans="1:19" hidden="1" x14ac:dyDescent="0.25">
      <c r="A32" t="s">
        <v>494</v>
      </c>
      <c r="B32">
        <v>7</v>
      </c>
      <c r="C32" t="s">
        <v>495</v>
      </c>
      <c r="D32">
        <v>0</v>
      </c>
      <c r="E32" s="1">
        <v>40927</v>
      </c>
      <c r="F32">
        <v>29</v>
      </c>
      <c r="G32" t="s">
        <v>496</v>
      </c>
      <c r="H32" t="s">
        <v>497</v>
      </c>
      <c r="I32" t="s">
        <v>498</v>
      </c>
      <c r="J32">
        <v>2</v>
      </c>
      <c r="K32" t="s">
        <v>499</v>
      </c>
      <c r="L32" t="s">
        <v>438</v>
      </c>
      <c r="M32" t="s">
        <v>500</v>
      </c>
      <c r="N32" t="s">
        <v>501</v>
      </c>
      <c r="O32" s="1">
        <v>31208</v>
      </c>
      <c r="P32" t="s">
        <v>502</v>
      </c>
      <c r="Q32" t="s">
        <v>503</v>
      </c>
      <c r="R32" t="s">
        <v>748</v>
      </c>
      <c r="S32">
        <v>91011</v>
      </c>
    </row>
    <row r="33" spans="1:19" hidden="1" x14ac:dyDescent="0.25">
      <c r="A33" t="s">
        <v>504</v>
      </c>
      <c r="B33">
        <v>5</v>
      </c>
      <c r="C33" t="s">
        <v>505</v>
      </c>
      <c r="D33">
        <v>0</v>
      </c>
      <c r="E33" s="1">
        <v>39925</v>
      </c>
      <c r="F33">
        <v>30</v>
      </c>
      <c r="G33" t="s">
        <v>506</v>
      </c>
      <c r="H33" t="s">
        <v>507</v>
      </c>
      <c r="I33" t="s">
        <v>508</v>
      </c>
      <c r="J33">
        <v>0</v>
      </c>
      <c r="K33" t="s">
        <v>509</v>
      </c>
      <c r="L33" t="s">
        <v>510</v>
      </c>
      <c r="M33" t="s">
        <v>511</v>
      </c>
      <c r="N33" t="s">
        <v>512</v>
      </c>
      <c r="O33" s="1">
        <v>26553</v>
      </c>
      <c r="P33" t="s">
        <v>513</v>
      </c>
      <c r="Q33" t="s">
        <v>514</v>
      </c>
      <c r="R33" t="s">
        <v>748</v>
      </c>
      <c r="S33">
        <v>90670</v>
      </c>
    </row>
    <row r="34" spans="1:19" hidden="1" x14ac:dyDescent="0.25">
      <c r="A34" t="s">
        <v>515</v>
      </c>
      <c r="B34">
        <v>2</v>
      </c>
      <c r="C34" t="s">
        <v>516</v>
      </c>
      <c r="D34">
        <v>0</v>
      </c>
      <c r="E34" s="1">
        <v>39618</v>
      </c>
      <c r="F34">
        <v>31</v>
      </c>
      <c r="G34" t="s">
        <v>517</v>
      </c>
      <c r="H34" t="s">
        <v>518</v>
      </c>
      <c r="I34" t="s">
        <v>519</v>
      </c>
      <c r="J34">
        <v>4</v>
      </c>
      <c r="K34" t="s">
        <v>520</v>
      </c>
      <c r="L34" t="s">
        <v>521</v>
      </c>
      <c r="M34" t="s">
        <v>522</v>
      </c>
      <c r="N34" t="s">
        <v>523</v>
      </c>
      <c r="O34" s="1">
        <v>28405</v>
      </c>
      <c r="P34" t="s">
        <v>524</v>
      </c>
      <c r="Q34" t="s">
        <v>286</v>
      </c>
      <c r="R34" t="s">
        <v>748</v>
      </c>
      <c r="S34">
        <v>90815</v>
      </c>
    </row>
    <row r="35" spans="1:19" hidden="1" x14ac:dyDescent="0.25">
      <c r="A35" t="s">
        <v>525</v>
      </c>
      <c r="B35">
        <v>4</v>
      </c>
      <c r="C35" t="s">
        <v>526</v>
      </c>
      <c r="D35">
        <v>0</v>
      </c>
      <c r="E35" s="1">
        <v>39628</v>
      </c>
      <c r="F35">
        <v>32</v>
      </c>
      <c r="G35" t="s">
        <v>527</v>
      </c>
      <c r="H35" t="s">
        <v>528</v>
      </c>
      <c r="I35" t="s">
        <v>529</v>
      </c>
      <c r="J35">
        <v>1</v>
      </c>
      <c r="K35" t="s">
        <v>530</v>
      </c>
      <c r="L35" t="s">
        <v>531</v>
      </c>
      <c r="M35" t="s">
        <v>532</v>
      </c>
      <c r="N35" t="s">
        <v>533</v>
      </c>
      <c r="O35" s="1">
        <v>29160</v>
      </c>
      <c r="P35" t="s">
        <v>534</v>
      </c>
      <c r="Q35" t="s">
        <v>535</v>
      </c>
      <c r="R35" t="s">
        <v>748</v>
      </c>
      <c r="S35">
        <v>92602</v>
      </c>
    </row>
    <row r="36" spans="1:19" hidden="1" x14ac:dyDescent="0.25">
      <c r="A36" t="s">
        <v>536</v>
      </c>
      <c r="B36">
        <v>4</v>
      </c>
      <c r="C36" t="s">
        <v>537</v>
      </c>
      <c r="D36">
        <v>0</v>
      </c>
      <c r="E36" s="1">
        <v>39858</v>
      </c>
      <c r="F36">
        <v>33</v>
      </c>
      <c r="G36" t="s">
        <v>538</v>
      </c>
      <c r="H36" t="s">
        <v>539</v>
      </c>
      <c r="I36" t="s">
        <v>540</v>
      </c>
      <c r="J36">
        <v>4</v>
      </c>
      <c r="K36" t="s">
        <v>541</v>
      </c>
      <c r="L36" t="s">
        <v>542</v>
      </c>
      <c r="M36" t="s">
        <v>543</v>
      </c>
      <c r="N36" t="s">
        <v>544</v>
      </c>
      <c r="O36" s="1">
        <v>30425</v>
      </c>
      <c r="P36" t="s">
        <v>545</v>
      </c>
      <c r="Q36" t="s">
        <v>546</v>
      </c>
      <c r="R36" t="s">
        <v>748</v>
      </c>
      <c r="S36">
        <v>90601</v>
      </c>
    </row>
    <row r="37" spans="1:19" hidden="1" x14ac:dyDescent="0.25">
      <c r="A37" t="s">
        <v>547</v>
      </c>
      <c r="B37">
        <v>4</v>
      </c>
      <c r="C37" t="s">
        <v>548</v>
      </c>
      <c r="D37">
        <v>0</v>
      </c>
      <c r="E37" s="1">
        <v>39863</v>
      </c>
      <c r="F37">
        <v>34</v>
      </c>
      <c r="G37" t="s">
        <v>549</v>
      </c>
      <c r="H37" t="s">
        <v>550</v>
      </c>
      <c r="I37" t="s">
        <v>551</v>
      </c>
      <c r="J37">
        <v>1</v>
      </c>
      <c r="K37" t="s">
        <v>552</v>
      </c>
      <c r="L37" t="s">
        <v>553</v>
      </c>
      <c r="M37" t="s">
        <v>554</v>
      </c>
      <c r="N37" t="s">
        <v>555</v>
      </c>
      <c r="O37" s="1">
        <v>31106</v>
      </c>
      <c r="P37" t="s">
        <v>556</v>
      </c>
      <c r="Q37" t="s">
        <v>557</v>
      </c>
      <c r="R37" t="s">
        <v>748</v>
      </c>
      <c r="S37">
        <v>92821</v>
      </c>
    </row>
    <row r="38" spans="1:19" hidden="1" x14ac:dyDescent="0.25">
      <c r="A38" t="s">
        <v>558</v>
      </c>
      <c r="B38">
        <v>4</v>
      </c>
      <c r="C38" t="s">
        <v>548</v>
      </c>
      <c r="D38">
        <v>0</v>
      </c>
      <c r="E38" s="1">
        <v>39828</v>
      </c>
      <c r="F38">
        <v>35</v>
      </c>
      <c r="G38" t="s">
        <v>559</v>
      </c>
      <c r="H38" t="s">
        <v>560</v>
      </c>
      <c r="I38" t="s">
        <v>561</v>
      </c>
      <c r="J38">
        <v>1</v>
      </c>
      <c r="K38" t="s">
        <v>562</v>
      </c>
      <c r="L38" t="s">
        <v>563</v>
      </c>
      <c r="M38" t="s">
        <v>564</v>
      </c>
      <c r="N38" t="s">
        <v>565</v>
      </c>
      <c r="O38" s="1">
        <v>31579</v>
      </c>
      <c r="P38" t="s">
        <v>566</v>
      </c>
      <c r="Q38" t="s">
        <v>567</v>
      </c>
      <c r="R38" t="s">
        <v>748</v>
      </c>
      <c r="S38">
        <v>92373</v>
      </c>
    </row>
    <row r="39" spans="1:19" hidden="1" x14ac:dyDescent="0.25">
      <c r="A39" t="s">
        <v>568</v>
      </c>
      <c r="B39">
        <v>4</v>
      </c>
      <c r="C39" t="s">
        <v>548</v>
      </c>
      <c r="D39">
        <v>0</v>
      </c>
      <c r="E39" s="1">
        <v>39469</v>
      </c>
      <c r="F39">
        <v>36</v>
      </c>
      <c r="G39" t="s">
        <v>225</v>
      </c>
      <c r="H39" t="s">
        <v>569</v>
      </c>
      <c r="I39" t="s">
        <v>570</v>
      </c>
      <c r="J39">
        <v>2</v>
      </c>
      <c r="K39" t="s">
        <v>571</v>
      </c>
      <c r="L39" t="s">
        <v>572</v>
      </c>
      <c r="M39" t="s">
        <v>573</v>
      </c>
      <c r="N39" t="s">
        <v>574</v>
      </c>
      <c r="O39" s="1">
        <v>31017</v>
      </c>
      <c r="P39" t="s">
        <v>575</v>
      </c>
      <c r="Q39" t="s">
        <v>163</v>
      </c>
      <c r="R39" t="s">
        <v>748</v>
      </c>
      <c r="S39">
        <v>90031</v>
      </c>
    </row>
    <row r="40" spans="1:19" hidden="1" x14ac:dyDescent="0.25">
      <c r="A40" t="s">
        <v>576</v>
      </c>
      <c r="B40">
        <v>4</v>
      </c>
      <c r="C40" t="s">
        <v>548</v>
      </c>
      <c r="D40">
        <v>0</v>
      </c>
      <c r="E40" s="1">
        <v>39873</v>
      </c>
      <c r="F40">
        <v>37</v>
      </c>
      <c r="G40" t="s">
        <v>577</v>
      </c>
      <c r="H40" t="s">
        <v>578</v>
      </c>
      <c r="I40" t="s">
        <v>579</v>
      </c>
      <c r="J40">
        <v>4</v>
      </c>
      <c r="K40" t="s">
        <v>580</v>
      </c>
      <c r="L40" t="s">
        <v>581</v>
      </c>
      <c r="M40" t="s">
        <v>582</v>
      </c>
      <c r="N40" t="s">
        <v>583</v>
      </c>
      <c r="O40" s="1">
        <v>32103</v>
      </c>
      <c r="P40" t="s">
        <v>584</v>
      </c>
      <c r="Q40" t="s">
        <v>585</v>
      </c>
      <c r="R40" t="s">
        <v>748</v>
      </c>
      <c r="S40">
        <v>92704</v>
      </c>
    </row>
    <row r="41" spans="1:19" hidden="1" x14ac:dyDescent="0.25">
      <c r="A41" t="s">
        <v>586</v>
      </c>
      <c r="B41">
        <v>4</v>
      </c>
      <c r="C41" t="s">
        <v>587</v>
      </c>
      <c r="D41">
        <v>0</v>
      </c>
      <c r="E41" s="1">
        <v>39373</v>
      </c>
      <c r="F41">
        <v>38</v>
      </c>
      <c r="G41" t="s">
        <v>588</v>
      </c>
      <c r="H41" t="s">
        <v>445</v>
      </c>
      <c r="I41" t="s">
        <v>589</v>
      </c>
      <c r="J41">
        <v>1</v>
      </c>
      <c r="K41" t="s">
        <v>590</v>
      </c>
      <c r="L41" t="s">
        <v>591</v>
      </c>
      <c r="M41" t="s">
        <v>592</v>
      </c>
      <c r="N41" t="s">
        <v>593</v>
      </c>
      <c r="O41" s="1">
        <v>30690</v>
      </c>
      <c r="P41" t="s">
        <v>594</v>
      </c>
      <c r="Q41" t="s">
        <v>595</v>
      </c>
      <c r="R41" t="s">
        <v>748</v>
      </c>
      <c r="S41">
        <v>93063</v>
      </c>
    </row>
    <row r="42" spans="1:19" hidden="1" x14ac:dyDescent="0.25">
      <c r="A42" t="s">
        <v>596</v>
      </c>
      <c r="B42">
        <v>2</v>
      </c>
      <c r="C42" t="s">
        <v>597</v>
      </c>
      <c r="D42">
        <v>0</v>
      </c>
      <c r="E42" s="1">
        <v>38578</v>
      </c>
      <c r="F42">
        <v>39</v>
      </c>
      <c r="G42" t="s">
        <v>598</v>
      </c>
      <c r="H42" t="s">
        <v>342</v>
      </c>
      <c r="I42" t="s">
        <v>599</v>
      </c>
      <c r="J42">
        <v>1</v>
      </c>
      <c r="K42" t="s">
        <v>600</v>
      </c>
      <c r="L42" t="s">
        <v>601</v>
      </c>
      <c r="M42" t="s">
        <v>602</v>
      </c>
      <c r="N42" t="s">
        <v>603</v>
      </c>
      <c r="O42" s="1">
        <v>32140</v>
      </c>
      <c r="P42" t="s">
        <v>604</v>
      </c>
      <c r="Q42" t="s">
        <v>605</v>
      </c>
      <c r="R42" t="s">
        <v>748</v>
      </c>
      <c r="S42">
        <v>90210</v>
      </c>
    </row>
    <row r="43" spans="1:19" x14ac:dyDescent="0.25">
      <c r="A43" t="s">
        <v>606</v>
      </c>
      <c r="B43">
        <v>1</v>
      </c>
      <c r="C43" t="s">
        <v>204</v>
      </c>
      <c r="D43">
        <v>0</v>
      </c>
      <c r="E43" s="1">
        <v>38917</v>
      </c>
      <c r="F43">
        <v>40</v>
      </c>
      <c r="G43" t="s">
        <v>607</v>
      </c>
      <c r="H43" t="s">
        <v>608</v>
      </c>
      <c r="I43" t="s">
        <v>609</v>
      </c>
      <c r="J43">
        <v>2</v>
      </c>
      <c r="K43" t="s">
        <v>610</v>
      </c>
      <c r="L43" t="s">
        <v>611</v>
      </c>
      <c r="M43" t="s">
        <v>612</v>
      </c>
      <c r="N43" t="s">
        <v>613</v>
      </c>
      <c r="O43" s="1">
        <v>31633</v>
      </c>
      <c r="P43" t="s">
        <v>614</v>
      </c>
      <c r="Q43" t="s">
        <v>308</v>
      </c>
      <c r="R43" t="s">
        <v>748</v>
      </c>
      <c r="S43">
        <v>90272</v>
      </c>
    </row>
    <row r="44" spans="1:19" x14ac:dyDescent="0.25">
      <c r="A44" t="s">
        <v>615</v>
      </c>
      <c r="B44">
        <v>1</v>
      </c>
      <c r="C44" t="s">
        <v>616</v>
      </c>
      <c r="D44">
        <v>1</v>
      </c>
      <c r="E44" s="1">
        <v>40493</v>
      </c>
      <c r="F44">
        <v>41</v>
      </c>
      <c r="G44" t="s">
        <v>386</v>
      </c>
      <c r="H44" t="s">
        <v>617</v>
      </c>
      <c r="I44" t="s">
        <v>618</v>
      </c>
      <c r="J44">
        <v>1</v>
      </c>
      <c r="K44" t="s">
        <v>619</v>
      </c>
      <c r="L44" t="s">
        <v>620</v>
      </c>
      <c r="M44" t="s">
        <v>621</v>
      </c>
      <c r="N44" t="s">
        <v>622</v>
      </c>
      <c r="O44" s="1">
        <v>31220</v>
      </c>
      <c r="P44" t="s">
        <v>623</v>
      </c>
      <c r="Q44" t="s">
        <v>624</v>
      </c>
      <c r="R44" t="s">
        <v>748</v>
      </c>
      <c r="S44">
        <v>93301</v>
      </c>
    </row>
    <row r="45" spans="1:19" x14ac:dyDescent="0.25">
      <c r="A45" t="s">
        <v>625</v>
      </c>
      <c r="B45">
        <v>1</v>
      </c>
      <c r="C45" t="s">
        <v>626</v>
      </c>
      <c r="D45">
        <v>1</v>
      </c>
      <c r="E45" s="1">
        <v>40551</v>
      </c>
      <c r="F45">
        <v>42</v>
      </c>
      <c r="G45" t="s">
        <v>627</v>
      </c>
      <c r="H45" t="s">
        <v>628</v>
      </c>
      <c r="I45" t="s">
        <v>629</v>
      </c>
      <c r="J45">
        <v>4</v>
      </c>
      <c r="K45" t="s">
        <v>630</v>
      </c>
      <c r="L45" t="s">
        <v>631</v>
      </c>
      <c r="M45" t="s">
        <v>632</v>
      </c>
      <c r="N45" t="s">
        <v>633</v>
      </c>
      <c r="O45" s="1">
        <v>30865</v>
      </c>
      <c r="P45" t="s">
        <v>634</v>
      </c>
      <c r="Q45" t="s">
        <v>635</v>
      </c>
      <c r="R45" t="s">
        <v>748</v>
      </c>
      <c r="S45">
        <v>93401</v>
      </c>
    </row>
    <row r="46" spans="1:19" x14ac:dyDescent="0.25">
      <c r="A46" t="s">
        <v>636</v>
      </c>
      <c r="B46">
        <v>1</v>
      </c>
      <c r="C46" t="s">
        <v>616</v>
      </c>
      <c r="D46">
        <v>1</v>
      </c>
      <c r="E46" s="1">
        <v>40986</v>
      </c>
      <c r="F46">
        <v>43</v>
      </c>
      <c r="G46" t="s">
        <v>637</v>
      </c>
      <c r="H46" t="s">
        <v>638</v>
      </c>
      <c r="I46" t="s">
        <v>639</v>
      </c>
      <c r="J46">
        <v>1</v>
      </c>
      <c r="K46" t="s">
        <v>640</v>
      </c>
      <c r="L46" t="s">
        <v>641</v>
      </c>
      <c r="M46" t="s">
        <v>642</v>
      </c>
      <c r="N46" t="s">
        <v>643</v>
      </c>
      <c r="O46" s="1">
        <v>32639</v>
      </c>
      <c r="P46" t="s">
        <v>644</v>
      </c>
      <c r="Q46" t="s">
        <v>645</v>
      </c>
      <c r="R46" t="s">
        <v>748</v>
      </c>
      <c r="S46">
        <v>93940</v>
      </c>
    </row>
    <row r="47" spans="1:19" x14ac:dyDescent="0.25">
      <c r="A47" t="s">
        <v>646</v>
      </c>
      <c r="B47">
        <v>1</v>
      </c>
      <c r="C47" t="s">
        <v>616</v>
      </c>
      <c r="D47">
        <v>1</v>
      </c>
      <c r="E47" s="1">
        <v>41010</v>
      </c>
      <c r="F47">
        <v>44</v>
      </c>
      <c r="G47" t="s">
        <v>647</v>
      </c>
      <c r="H47" t="s">
        <v>485</v>
      </c>
      <c r="I47" t="s">
        <v>648</v>
      </c>
      <c r="J47">
        <v>1</v>
      </c>
      <c r="K47" t="s">
        <v>649</v>
      </c>
      <c r="L47" t="s">
        <v>650</v>
      </c>
      <c r="M47" t="s">
        <v>651</v>
      </c>
      <c r="N47" t="s">
        <v>652</v>
      </c>
      <c r="O47" s="1">
        <v>32240</v>
      </c>
      <c r="P47" t="s">
        <v>653</v>
      </c>
      <c r="Q47" t="s">
        <v>654</v>
      </c>
      <c r="R47" t="s">
        <v>748</v>
      </c>
      <c r="S47">
        <v>94553</v>
      </c>
    </row>
    <row r="48" spans="1:19" x14ac:dyDescent="0.25">
      <c r="A48" t="s">
        <v>655</v>
      </c>
      <c r="B48">
        <v>1</v>
      </c>
      <c r="C48" t="s">
        <v>616</v>
      </c>
      <c r="D48">
        <v>1</v>
      </c>
      <c r="E48" s="1">
        <v>41018</v>
      </c>
      <c r="F48">
        <v>45</v>
      </c>
      <c r="G48" t="s">
        <v>656</v>
      </c>
      <c r="H48" t="s">
        <v>657</v>
      </c>
      <c r="I48" t="s">
        <v>658</v>
      </c>
      <c r="J48">
        <v>1</v>
      </c>
      <c r="K48" t="s">
        <v>659</v>
      </c>
      <c r="L48" t="s">
        <v>660</v>
      </c>
      <c r="M48" t="s">
        <v>661</v>
      </c>
      <c r="N48" t="s">
        <v>662</v>
      </c>
      <c r="O48" s="1">
        <v>31861</v>
      </c>
      <c r="P48" t="s">
        <v>663</v>
      </c>
      <c r="Q48" t="s">
        <v>664</v>
      </c>
      <c r="R48" t="s">
        <v>748</v>
      </c>
      <c r="S48">
        <v>94550</v>
      </c>
    </row>
    <row r="49" spans="1:19" hidden="1" x14ac:dyDescent="0.25">
      <c r="A49" t="s">
        <v>665</v>
      </c>
      <c r="B49">
        <v>4</v>
      </c>
      <c r="C49" t="s">
        <v>548</v>
      </c>
      <c r="D49">
        <v>3</v>
      </c>
      <c r="E49" s="1">
        <v>40283</v>
      </c>
      <c r="F49">
        <v>48</v>
      </c>
      <c r="G49" t="s">
        <v>666</v>
      </c>
      <c r="H49" t="s">
        <v>667</v>
      </c>
      <c r="I49" t="s">
        <v>668</v>
      </c>
      <c r="J49">
        <v>1</v>
      </c>
      <c r="K49" t="s">
        <v>669</v>
      </c>
      <c r="L49" t="s">
        <v>670</v>
      </c>
      <c r="M49" t="s">
        <v>671</v>
      </c>
      <c r="N49" t="s">
        <v>672</v>
      </c>
      <c r="O49" s="1">
        <v>33314</v>
      </c>
      <c r="P49" t="s">
        <v>673</v>
      </c>
      <c r="Q49" t="s">
        <v>163</v>
      </c>
      <c r="R49" t="s">
        <v>748</v>
      </c>
      <c r="S49">
        <v>90069</v>
      </c>
    </row>
    <row r="50" spans="1:19" hidden="1" x14ac:dyDescent="0.25">
      <c r="A50" t="s">
        <v>674</v>
      </c>
      <c r="B50">
        <v>3</v>
      </c>
      <c r="C50" t="s">
        <v>340</v>
      </c>
      <c r="D50">
        <v>3</v>
      </c>
      <c r="E50" s="1">
        <v>40888</v>
      </c>
      <c r="F50">
        <v>49</v>
      </c>
      <c r="G50" t="s">
        <v>675</v>
      </c>
      <c r="H50" t="s">
        <v>436</v>
      </c>
      <c r="I50" t="s">
        <v>676</v>
      </c>
      <c r="J50">
        <v>2</v>
      </c>
      <c r="K50" t="s">
        <v>677</v>
      </c>
      <c r="L50" t="s">
        <v>678</v>
      </c>
      <c r="M50" t="s">
        <v>679</v>
      </c>
      <c r="N50" t="s">
        <v>680</v>
      </c>
      <c r="O50" s="1">
        <v>33799</v>
      </c>
      <c r="P50" t="s">
        <v>681</v>
      </c>
      <c r="Q50" t="s">
        <v>163</v>
      </c>
      <c r="R50" t="s">
        <v>748</v>
      </c>
      <c r="S50">
        <v>90069</v>
      </c>
    </row>
    <row r="51" spans="1:19" hidden="1" x14ac:dyDescent="0.25">
      <c r="A51" t="s">
        <v>682</v>
      </c>
      <c r="B51">
        <v>3</v>
      </c>
      <c r="C51" t="s">
        <v>340</v>
      </c>
      <c r="D51">
        <v>3</v>
      </c>
      <c r="E51" s="1">
        <v>41078</v>
      </c>
      <c r="F51">
        <v>50</v>
      </c>
      <c r="G51" t="s">
        <v>99</v>
      </c>
      <c r="H51" t="s">
        <v>683</v>
      </c>
      <c r="I51" t="s">
        <v>684</v>
      </c>
      <c r="J51">
        <v>1</v>
      </c>
      <c r="K51" t="s">
        <v>685</v>
      </c>
      <c r="L51" t="s">
        <v>686</v>
      </c>
      <c r="M51" t="s">
        <v>687</v>
      </c>
      <c r="N51" t="s">
        <v>688</v>
      </c>
      <c r="O51" s="1">
        <v>34565</v>
      </c>
      <c r="P51" t="s">
        <v>689</v>
      </c>
      <c r="Q51" t="s">
        <v>163</v>
      </c>
      <c r="R51" t="s">
        <v>748</v>
      </c>
      <c r="S51">
        <v>90013</v>
      </c>
    </row>
    <row r="52" spans="1:19" hidden="1" x14ac:dyDescent="0.25">
      <c r="A52" t="s">
        <v>690</v>
      </c>
      <c r="B52">
        <v>4</v>
      </c>
      <c r="C52" t="s">
        <v>548</v>
      </c>
      <c r="D52">
        <v>3</v>
      </c>
      <c r="E52" s="1">
        <v>40743</v>
      </c>
      <c r="F52">
        <v>51</v>
      </c>
      <c r="G52" t="s">
        <v>691</v>
      </c>
      <c r="H52" t="s">
        <v>692</v>
      </c>
      <c r="I52" t="s">
        <v>693</v>
      </c>
      <c r="J52">
        <v>1</v>
      </c>
      <c r="K52" t="s">
        <v>694</v>
      </c>
      <c r="L52" t="s">
        <v>695</v>
      </c>
      <c r="M52" t="s">
        <v>696</v>
      </c>
      <c r="N52" t="s">
        <v>697</v>
      </c>
      <c r="O52" s="1">
        <v>31301</v>
      </c>
      <c r="P52" t="s">
        <v>698</v>
      </c>
      <c r="Q52" t="s">
        <v>163</v>
      </c>
      <c r="R52" t="s">
        <v>748</v>
      </c>
      <c r="S52">
        <v>90012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20"/>
  <sheetViews>
    <sheetView workbookViewId="0"/>
  </sheetViews>
  <sheetFormatPr defaultRowHeight="15" x14ac:dyDescent="0.25"/>
  <cols>
    <col min="1" max="1" width="38.140625" customWidth="1"/>
    <col min="2" max="2" width="22.28515625" customWidth="1"/>
    <col min="3" max="3" width="22" customWidth="1"/>
    <col min="4" max="4" width="11.42578125" customWidth="1"/>
    <col min="5" max="5" width="18.42578125" customWidth="1"/>
    <col min="6" max="6" width="12" customWidth="1"/>
    <col min="7" max="7" width="16.140625" customWidth="1"/>
    <col min="8" max="8" width="10.140625" bestFit="1" customWidth="1"/>
    <col min="9" max="9" width="11.28515625" customWidth="1"/>
    <col min="10" max="10" width="12.7109375" customWidth="1"/>
  </cols>
  <sheetData>
    <row r="1" spans="1:10" x14ac:dyDescent="0.25">
      <c r="A1" t="s">
        <v>0</v>
      </c>
      <c r="B1" t="s">
        <v>1</v>
      </c>
      <c r="C1" t="s">
        <v>699</v>
      </c>
      <c r="D1" t="s">
        <v>700</v>
      </c>
      <c r="E1" t="s">
        <v>701</v>
      </c>
      <c r="F1" t="s">
        <v>702</v>
      </c>
      <c r="G1" t="s">
        <v>703</v>
      </c>
      <c r="H1" t="s">
        <v>704</v>
      </c>
      <c r="I1" t="s">
        <v>705</v>
      </c>
      <c r="J1" t="s">
        <v>706</v>
      </c>
    </row>
    <row r="2" spans="1:10" x14ac:dyDescent="0.25">
      <c r="A2" t="s">
        <v>707</v>
      </c>
      <c r="B2" t="s">
        <v>708</v>
      </c>
      <c r="C2" s="1">
        <v>41554</v>
      </c>
      <c r="D2">
        <v>1</v>
      </c>
      <c r="E2">
        <v>225</v>
      </c>
      <c r="F2">
        <v>0</v>
      </c>
      <c r="G2">
        <v>10</v>
      </c>
      <c r="H2" s="2">
        <v>110</v>
      </c>
      <c r="I2" s="2">
        <v>220</v>
      </c>
      <c r="J2" s="2">
        <v>330</v>
      </c>
    </row>
    <row r="3" spans="1:10" x14ac:dyDescent="0.25">
      <c r="A3" t="s">
        <v>709</v>
      </c>
      <c r="B3" t="s">
        <v>710</v>
      </c>
      <c r="C3" s="1">
        <v>41609</v>
      </c>
      <c r="D3">
        <v>1</v>
      </c>
      <c r="E3">
        <v>150</v>
      </c>
      <c r="F3">
        <v>0</v>
      </c>
      <c r="G3">
        <v>25</v>
      </c>
      <c r="H3" s="2">
        <v>175</v>
      </c>
      <c r="I3" s="2">
        <v>275</v>
      </c>
      <c r="J3" s="2">
        <v>400</v>
      </c>
    </row>
    <row r="4" spans="1:10" x14ac:dyDescent="0.25">
      <c r="A4" t="s">
        <v>711</v>
      </c>
      <c r="B4" t="s">
        <v>712</v>
      </c>
      <c r="C4" s="1">
        <v>38362</v>
      </c>
      <c r="D4">
        <v>0</v>
      </c>
      <c r="E4">
        <v>0</v>
      </c>
      <c r="F4">
        <v>0</v>
      </c>
      <c r="G4">
        <v>0</v>
      </c>
      <c r="H4" s="2">
        <v>1100</v>
      </c>
      <c r="I4" s="2">
        <v>1800</v>
      </c>
      <c r="J4" s="2">
        <v>2400</v>
      </c>
    </row>
    <row r="5" spans="1:10" x14ac:dyDescent="0.25">
      <c r="A5" t="s">
        <v>713</v>
      </c>
      <c r="B5" t="s">
        <v>714</v>
      </c>
      <c r="C5" s="1">
        <v>40846</v>
      </c>
      <c r="D5">
        <v>1</v>
      </c>
      <c r="E5">
        <v>77</v>
      </c>
      <c r="F5">
        <v>0</v>
      </c>
      <c r="G5">
        <v>55</v>
      </c>
      <c r="H5" s="2">
        <v>775</v>
      </c>
      <c r="I5" s="2">
        <v>1100</v>
      </c>
      <c r="J5" s="2">
        <v>1600</v>
      </c>
    </row>
    <row r="6" spans="1:10" x14ac:dyDescent="0.25">
      <c r="A6" t="s">
        <v>715</v>
      </c>
      <c r="B6" t="s">
        <v>716</v>
      </c>
      <c r="C6" s="1">
        <v>41167</v>
      </c>
      <c r="D6">
        <v>1</v>
      </c>
      <c r="E6">
        <v>445</v>
      </c>
      <c r="F6">
        <v>0</v>
      </c>
      <c r="G6">
        <v>0</v>
      </c>
      <c r="H6" s="2">
        <v>675</v>
      </c>
      <c r="I6" s="2">
        <v>1050</v>
      </c>
      <c r="J6" s="2">
        <v>1450</v>
      </c>
    </row>
    <row r="7" spans="1:10" x14ac:dyDescent="0.25">
      <c r="A7" t="s">
        <v>717</v>
      </c>
      <c r="B7" t="s">
        <v>718</v>
      </c>
      <c r="C7" s="1">
        <v>40391</v>
      </c>
      <c r="D7">
        <v>1</v>
      </c>
      <c r="E7">
        <v>345</v>
      </c>
      <c r="F7">
        <v>0</v>
      </c>
      <c r="G7">
        <v>5</v>
      </c>
      <c r="H7" s="2">
        <v>745</v>
      </c>
      <c r="I7" s="2">
        <v>1045</v>
      </c>
      <c r="J7" s="2">
        <v>1350</v>
      </c>
    </row>
    <row r="8" spans="1:10" x14ac:dyDescent="0.25">
      <c r="A8" t="s">
        <v>719</v>
      </c>
      <c r="B8" t="s">
        <v>720</v>
      </c>
      <c r="C8" s="1">
        <v>40360</v>
      </c>
      <c r="D8">
        <v>1</v>
      </c>
      <c r="E8">
        <v>210</v>
      </c>
      <c r="F8">
        <v>0</v>
      </c>
      <c r="G8">
        <v>20</v>
      </c>
      <c r="H8" s="2">
        <v>710</v>
      </c>
      <c r="I8" s="2">
        <v>999</v>
      </c>
      <c r="J8" s="2">
        <v>1200</v>
      </c>
    </row>
    <row r="9" spans="1:10" x14ac:dyDescent="0.25">
      <c r="A9" t="s">
        <v>721</v>
      </c>
      <c r="B9" t="s">
        <v>722</v>
      </c>
      <c r="C9" s="1">
        <v>39783</v>
      </c>
      <c r="D9">
        <v>0</v>
      </c>
      <c r="E9">
        <v>0</v>
      </c>
      <c r="F9">
        <v>0</v>
      </c>
      <c r="G9">
        <v>0</v>
      </c>
      <c r="H9" s="2">
        <v>1800</v>
      </c>
      <c r="I9" s="2">
        <v>2900</v>
      </c>
      <c r="J9" s="2">
        <v>3500</v>
      </c>
    </row>
    <row r="10" spans="1:10" x14ac:dyDescent="0.25">
      <c r="A10" t="s">
        <v>723</v>
      </c>
      <c r="B10" t="s">
        <v>724</v>
      </c>
      <c r="C10" s="1">
        <v>41061</v>
      </c>
      <c r="D10">
        <v>1</v>
      </c>
      <c r="E10">
        <v>95</v>
      </c>
      <c r="F10">
        <v>0</v>
      </c>
      <c r="G10">
        <v>5</v>
      </c>
      <c r="H10" s="2">
        <v>2125</v>
      </c>
      <c r="I10" s="2">
        <v>3200</v>
      </c>
      <c r="J10" s="2">
        <v>4000</v>
      </c>
    </row>
    <row r="11" spans="1:10" x14ac:dyDescent="0.25">
      <c r="A11" t="s">
        <v>725</v>
      </c>
      <c r="B11" t="s">
        <v>726</v>
      </c>
      <c r="C11" s="1">
        <v>41061</v>
      </c>
      <c r="D11">
        <v>1</v>
      </c>
      <c r="E11">
        <v>0</v>
      </c>
      <c r="F11">
        <v>425</v>
      </c>
      <c r="G11">
        <v>75</v>
      </c>
      <c r="H11" s="2">
        <v>75</v>
      </c>
      <c r="I11" s="2">
        <v>125</v>
      </c>
      <c r="J11" s="2">
        <v>175</v>
      </c>
    </row>
    <row r="12" spans="1:10" x14ac:dyDescent="0.25">
      <c r="A12" t="s">
        <v>727</v>
      </c>
      <c r="B12" t="s">
        <v>728</v>
      </c>
      <c r="C12" s="1">
        <v>41059</v>
      </c>
      <c r="D12">
        <v>1</v>
      </c>
      <c r="E12">
        <v>425</v>
      </c>
      <c r="F12">
        <v>0</v>
      </c>
      <c r="G12">
        <v>110</v>
      </c>
      <c r="H12" s="2">
        <v>70</v>
      </c>
      <c r="I12" s="2">
        <v>115</v>
      </c>
      <c r="J12" s="2">
        <v>165</v>
      </c>
    </row>
    <row r="13" spans="1:10" x14ac:dyDescent="0.25">
      <c r="A13" t="s">
        <v>729</v>
      </c>
      <c r="B13" t="s">
        <v>730</v>
      </c>
      <c r="C13" s="1">
        <v>40268</v>
      </c>
      <c r="D13">
        <v>1</v>
      </c>
      <c r="E13">
        <v>210</v>
      </c>
      <c r="F13">
        <v>0</v>
      </c>
      <c r="G13">
        <v>60</v>
      </c>
      <c r="H13" s="2">
        <v>75</v>
      </c>
      <c r="I13" s="2">
        <v>120</v>
      </c>
      <c r="J13" s="2">
        <v>170</v>
      </c>
    </row>
    <row r="14" spans="1:10" x14ac:dyDescent="0.25">
      <c r="A14" t="s">
        <v>731</v>
      </c>
      <c r="B14" t="s">
        <v>732</v>
      </c>
      <c r="C14" s="1">
        <v>40268</v>
      </c>
      <c r="D14">
        <v>1</v>
      </c>
      <c r="E14">
        <v>150</v>
      </c>
      <c r="F14">
        <v>0</v>
      </c>
      <c r="G14">
        <v>210</v>
      </c>
      <c r="H14" s="2">
        <v>68</v>
      </c>
      <c r="I14" s="2">
        <v>110</v>
      </c>
      <c r="J14" s="2">
        <v>160</v>
      </c>
    </row>
    <row r="15" spans="1:10" x14ac:dyDescent="0.25">
      <c r="A15" t="s">
        <v>733</v>
      </c>
      <c r="B15" t="s">
        <v>734</v>
      </c>
      <c r="C15" s="1">
        <v>40389</v>
      </c>
      <c r="D15">
        <v>1</v>
      </c>
      <c r="E15">
        <v>0</v>
      </c>
      <c r="F15">
        <v>55</v>
      </c>
      <c r="G15">
        <v>10</v>
      </c>
      <c r="H15" s="2">
        <v>225</v>
      </c>
      <c r="I15" s="2">
        <v>400</v>
      </c>
      <c r="J15" s="2">
        <v>550</v>
      </c>
    </row>
    <row r="16" spans="1:10" x14ac:dyDescent="0.25">
      <c r="A16" t="s">
        <v>735</v>
      </c>
      <c r="B16" t="s">
        <v>736</v>
      </c>
      <c r="C16" s="1">
        <v>41244</v>
      </c>
      <c r="D16">
        <v>1</v>
      </c>
      <c r="E16">
        <v>110</v>
      </c>
      <c r="F16">
        <v>0</v>
      </c>
      <c r="G16">
        <v>90</v>
      </c>
      <c r="H16" s="2">
        <v>425</v>
      </c>
      <c r="I16" s="2">
        <v>600</v>
      </c>
      <c r="J16" s="2">
        <v>750</v>
      </c>
    </row>
    <row r="17" spans="1:10" x14ac:dyDescent="0.25">
      <c r="A17" t="s">
        <v>737</v>
      </c>
      <c r="B17" t="s">
        <v>738</v>
      </c>
      <c r="C17" s="1">
        <v>41289</v>
      </c>
      <c r="D17">
        <v>1</v>
      </c>
      <c r="E17">
        <v>0</v>
      </c>
      <c r="F17">
        <v>75</v>
      </c>
      <c r="G17">
        <v>57</v>
      </c>
      <c r="H17" s="2">
        <v>725</v>
      </c>
      <c r="I17" s="2">
        <v>900</v>
      </c>
      <c r="J17" s="2">
        <v>1050</v>
      </c>
    </row>
    <row r="18" spans="1:10" x14ac:dyDescent="0.25">
      <c r="A18" t="s">
        <v>739</v>
      </c>
      <c r="B18" t="s">
        <v>740</v>
      </c>
      <c r="C18" s="1">
        <v>41122</v>
      </c>
      <c r="D18">
        <v>1</v>
      </c>
      <c r="E18">
        <v>650</v>
      </c>
      <c r="F18">
        <v>0</v>
      </c>
      <c r="G18">
        <v>190</v>
      </c>
      <c r="H18" s="2">
        <v>55</v>
      </c>
      <c r="I18" s="2">
        <v>105</v>
      </c>
      <c r="J18" s="2">
        <v>150</v>
      </c>
    </row>
    <row r="19" spans="1:10" x14ac:dyDescent="0.25">
      <c r="A19" t="s">
        <v>741</v>
      </c>
      <c r="B19" t="s">
        <v>742</v>
      </c>
      <c r="C19" s="1">
        <v>41153</v>
      </c>
      <c r="D19">
        <v>1</v>
      </c>
      <c r="E19">
        <v>310</v>
      </c>
      <c r="F19">
        <v>0</v>
      </c>
      <c r="G19">
        <v>0</v>
      </c>
      <c r="H19" s="2">
        <v>85</v>
      </c>
      <c r="I19" s="2">
        <v>135</v>
      </c>
      <c r="J19" s="2">
        <v>180</v>
      </c>
    </row>
    <row r="20" spans="1:10" x14ac:dyDescent="0.25">
      <c r="A20" t="s">
        <v>743</v>
      </c>
      <c r="B20" t="s">
        <v>744</v>
      </c>
      <c r="C20" s="1">
        <v>41183</v>
      </c>
      <c r="D20">
        <v>1</v>
      </c>
      <c r="E20">
        <v>0</v>
      </c>
      <c r="F20">
        <v>325</v>
      </c>
      <c r="G20">
        <v>225</v>
      </c>
      <c r="H20" s="2">
        <v>105</v>
      </c>
      <c r="I20" s="2">
        <v>155</v>
      </c>
      <c r="J20" s="2">
        <v>200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204"/>
  <sheetViews>
    <sheetView workbookViewId="0"/>
  </sheetViews>
  <sheetFormatPr defaultRowHeight="15" x14ac:dyDescent="0.25"/>
  <cols>
    <col min="1" max="1" width="38.42578125" customWidth="1"/>
    <col min="2" max="2" width="38.140625" customWidth="1"/>
    <col min="3" max="3" width="31.7109375" customWidth="1"/>
    <col min="4" max="4" width="16" customWidth="1"/>
    <col min="5" max="5" width="15.85546875" customWidth="1"/>
    <col min="6" max="6" width="18.5703125" customWidth="1"/>
    <col min="7" max="8" width="11" customWidth="1"/>
  </cols>
  <sheetData>
    <row r="1" spans="1:8" x14ac:dyDescent="0.25">
      <c r="B1" s="3" t="s">
        <v>750</v>
      </c>
      <c r="C1" s="3" t="s">
        <v>190</v>
      </c>
    </row>
    <row r="2" spans="1:8" x14ac:dyDescent="0.25">
      <c r="B2" s="4" t="str">
        <f>VLOOKUP(Invoice!$B$10,CustomersTable[],2,FALSE)</f>
        <v>41B0A894-60E6-E311-A609-080027D10434</v>
      </c>
      <c r="C2" s="4" t="str">
        <f>Invoice!H12</f>
        <v>San Diego</v>
      </c>
    </row>
    <row r="4" spans="1:8" x14ac:dyDescent="0.25">
      <c r="A4" t="s">
        <v>0</v>
      </c>
      <c r="B4" t="s">
        <v>750</v>
      </c>
      <c r="C4" t="s">
        <v>189</v>
      </c>
      <c r="D4" t="s">
        <v>190</v>
      </c>
      <c r="E4" t="s">
        <v>191</v>
      </c>
      <c r="F4" t="s">
        <v>192</v>
      </c>
      <c r="G4" t="s">
        <v>10</v>
      </c>
      <c r="H4" t="s">
        <v>11</v>
      </c>
    </row>
    <row r="5" spans="1:8" hidden="1" x14ac:dyDescent="0.25">
      <c r="A5" t="s">
        <v>751</v>
      </c>
      <c r="B5" t="s">
        <v>16</v>
      </c>
      <c r="C5" t="s">
        <v>752</v>
      </c>
      <c r="D5" t="s">
        <v>163</v>
      </c>
      <c r="E5" t="s">
        <v>748</v>
      </c>
      <c r="F5">
        <v>90014</v>
      </c>
      <c r="G5">
        <v>2135553724</v>
      </c>
      <c r="H5">
        <v>2135557539</v>
      </c>
    </row>
    <row r="6" spans="1:8" hidden="1" x14ac:dyDescent="0.25">
      <c r="A6" t="s">
        <v>753</v>
      </c>
      <c r="B6" t="s">
        <v>16</v>
      </c>
      <c r="C6" t="s">
        <v>754</v>
      </c>
      <c r="D6" t="s">
        <v>755</v>
      </c>
      <c r="E6" t="s">
        <v>748</v>
      </c>
      <c r="F6">
        <v>92805</v>
      </c>
      <c r="G6">
        <v>7145550927</v>
      </c>
      <c r="H6">
        <v>7145554270</v>
      </c>
    </row>
    <row r="7" spans="1:8" hidden="1" x14ac:dyDescent="0.25">
      <c r="A7" t="s">
        <v>756</v>
      </c>
      <c r="B7" t="s">
        <v>16</v>
      </c>
      <c r="C7" t="s">
        <v>757</v>
      </c>
      <c r="D7" t="s">
        <v>758</v>
      </c>
      <c r="E7" t="s">
        <v>748</v>
      </c>
      <c r="F7">
        <v>92102</v>
      </c>
      <c r="G7">
        <v>6195552742</v>
      </c>
      <c r="H7">
        <v>6195550909</v>
      </c>
    </row>
    <row r="8" spans="1:8" hidden="1" x14ac:dyDescent="0.25">
      <c r="A8" t="s">
        <v>759</v>
      </c>
      <c r="B8" t="s">
        <v>16</v>
      </c>
      <c r="C8" t="s">
        <v>760</v>
      </c>
      <c r="D8" t="s">
        <v>761</v>
      </c>
      <c r="E8" t="s">
        <v>748</v>
      </c>
      <c r="F8">
        <v>95122</v>
      </c>
      <c r="G8">
        <v>4155555678</v>
      </c>
      <c r="H8">
        <v>4155555202</v>
      </c>
    </row>
    <row r="9" spans="1:8" hidden="1" x14ac:dyDescent="0.25">
      <c r="A9" t="s">
        <v>762</v>
      </c>
      <c r="B9" t="s">
        <v>16</v>
      </c>
      <c r="C9" t="s">
        <v>763</v>
      </c>
      <c r="D9" t="s">
        <v>764</v>
      </c>
      <c r="E9" t="s">
        <v>1166</v>
      </c>
      <c r="F9">
        <v>89104</v>
      </c>
      <c r="G9">
        <v>7025557299</v>
      </c>
      <c r="H9">
        <v>7025552794</v>
      </c>
    </row>
    <row r="10" spans="1:8" hidden="1" x14ac:dyDescent="0.25">
      <c r="A10" t="s">
        <v>765</v>
      </c>
      <c r="B10" t="s">
        <v>16</v>
      </c>
      <c r="C10" t="s">
        <v>766</v>
      </c>
      <c r="D10" t="s">
        <v>767</v>
      </c>
      <c r="E10" t="s">
        <v>1166</v>
      </c>
      <c r="F10">
        <v>89502</v>
      </c>
      <c r="G10">
        <v>7755550729</v>
      </c>
      <c r="H10">
        <v>7755550729</v>
      </c>
    </row>
    <row r="11" spans="1:8" hidden="1" x14ac:dyDescent="0.25">
      <c r="A11" t="s">
        <v>768</v>
      </c>
      <c r="B11" t="s">
        <v>16</v>
      </c>
      <c r="C11" t="s">
        <v>769</v>
      </c>
      <c r="D11" t="s">
        <v>770</v>
      </c>
      <c r="E11" t="s">
        <v>1168</v>
      </c>
      <c r="F11">
        <v>80219</v>
      </c>
      <c r="G11">
        <v>3035557209</v>
      </c>
      <c r="H11">
        <v>3035555792</v>
      </c>
    </row>
    <row r="12" spans="1:8" hidden="1" x14ac:dyDescent="0.25">
      <c r="A12" t="s">
        <v>771</v>
      </c>
      <c r="B12" t="s">
        <v>16</v>
      </c>
      <c r="C12" t="s">
        <v>772</v>
      </c>
      <c r="D12" t="s">
        <v>773</v>
      </c>
      <c r="E12" t="s">
        <v>1169</v>
      </c>
      <c r="F12">
        <v>82604</v>
      </c>
      <c r="G12">
        <v>3075552790</v>
      </c>
      <c r="H12">
        <v>3075550009</v>
      </c>
    </row>
    <row r="13" spans="1:8" hidden="1" x14ac:dyDescent="0.25">
      <c r="A13" t="s">
        <v>774</v>
      </c>
      <c r="B13" t="s">
        <v>16</v>
      </c>
      <c r="C13" t="s">
        <v>775</v>
      </c>
      <c r="D13" t="s">
        <v>776</v>
      </c>
      <c r="E13" t="s">
        <v>1171</v>
      </c>
      <c r="F13">
        <v>84115</v>
      </c>
      <c r="G13">
        <v>8015557297</v>
      </c>
      <c r="H13">
        <v>8015555387</v>
      </c>
    </row>
    <row r="14" spans="1:8" hidden="1" x14ac:dyDescent="0.25">
      <c r="A14" t="s">
        <v>777</v>
      </c>
      <c r="B14" t="s">
        <v>16</v>
      </c>
      <c r="C14" t="s">
        <v>778</v>
      </c>
      <c r="D14" t="s">
        <v>779</v>
      </c>
      <c r="E14" t="s">
        <v>1167</v>
      </c>
      <c r="F14">
        <v>85015</v>
      </c>
      <c r="G14">
        <v>6235550942</v>
      </c>
      <c r="H14">
        <v>6235554444</v>
      </c>
    </row>
    <row r="15" spans="1:8" hidden="1" x14ac:dyDescent="0.25">
      <c r="A15" t="s">
        <v>780</v>
      </c>
      <c r="B15" t="s">
        <v>24</v>
      </c>
      <c r="C15" t="s">
        <v>781</v>
      </c>
      <c r="D15" t="s">
        <v>155</v>
      </c>
      <c r="E15" t="s">
        <v>1170</v>
      </c>
      <c r="F15">
        <v>98134</v>
      </c>
      <c r="G15">
        <v>2064679200</v>
      </c>
      <c r="H15">
        <v>2064679201</v>
      </c>
    </row>
    <row r="16" spans="1:8" hidden="1" x14ac:dyDescent="0.25">
      <c r="A16" t="s">
        <v>782</v>
      </c>
      <c r="B16" t="s">
        <v>24</v>
      </c>
      <c r="C16" t="s">
        <v>783</v>
      </c>
      <c r="D16" t="s">
        <v>784</v>
      </c>
      <c r="E16" t="s">
        <v>1170</v>
      </c>
      <c r="F16">
        <v>99218</v>
      </c>
      <c r="G16">
        <v>2535650334</v>
      </c>
      <c r="H16">
        <v>2535650333</v>
      </c>
    </row>
    <row r="17" spans="1:8" hidden="1" x14ac:dyDescent="0.25">
      <c r="A17" t="s">
        <v>785</v>
      </c>
      <c r="B17" t="s">
        <v>24</v>
      </c>
      <c r="C17" t="s">
        <v>786</v>
      </c>
      <c r="D17" t="s">
        <v>787</v>
      </c>
      <c r="E17" t="s">
        <v>1172</v>
      </c>
      <c r="F17">
        <v>97216</v>
      </c>
      <c r="G17">
        <v>5032618543</v>
      </c>
      <c r="H17">
        <v>5032618544</v>
      </c>
    </row>
    <row r="18" spans="1:8" hidden="1" x14ac:dyDescent="0.25">
      <c r="A18" t="s">
        <v>788</v>
      </c>
      <c r="B18" t="s">
        <v>24</v>
      </c>
      <c r="C18" t="s">
        <v>789</v>
      </c>
      <c r="D18" t="s">
        <v>790</v>
      </c>
      <c r="E18" t="s">
        <v>1172</v>
      </c>
      <c r="F18">
        <v>97408</v>
      </c>
      <c r="G18">
        <v>5416721823</v>
      </c>
      <c r="H18">
        <v>5416721824</v>
      </c>
    </row>
    <row r="19" spans="1:8" hidden="1" x14ac:dyDescent="0.25">
      <c r="A19" t="s">
        <v>791</v>
      </c>
      <c r="B19" t="s">
        <v>24</v>
      </c>
      <c r="C19" t="s">
        <v>792</v>
      </c>
      <c r="D19" t="s">
        <v>793</v>
      </c>
      <c r="E19" t="s">
        <v>748</v>
      </c>
      <c r="F19">
        <v>95842</v>
      </c>
      <c r="G19">
        <v>2092636017</v>
      </c>
      <c r="H19">
        <v>2092636018</v>
      </c>
    </row>
    <row r="20" spans="1:8" hidden="1" x14ac:dyDescent="0.25">
      <c r="A20" t="s">
        <v>794</v>
      </c>
      <c r="B20" t="s">
        <v>24</v>
      </c>
      <c r="C20" t="s">
        <v>795</v>
      </c>
      <c r="D20" t="s">
        <v>758</v>
      </c>
      <c r="E20" t="s">
        <v>748</v>
      </c>
      <c r="F20">
        <v>92110</v>
      </c>
      <c r="G20">
        <v>7072510162</v>
      </c>
      <c r="H20">
        <v>7072510163</v>
      </c>
    </row>
    <row r="21" spans="1:8" hidden="1" x14ac:dyDescent="0.25">
      <c r="A21" t="s">
        <v>796</v>
      </c>
      <c r="B21" t="s">
        <v>24</v>
      </c>
      <c r="C21" t="s">
        <v>797</v>
      </c>
      <c r="D21" t="s">
        <v>755</v>
      </c>
      <c r="E21" t="s">
        <v>748</v>
      </c>
      <c r="F21">
        <v>92801</v>
      </c>
      <c r="G21">
        <v>2094748285</v>
      </c>
      <c r="H21">
        <v>2094748286</v>
      </c>
    </row>
    <row r="22" spans="1:8" hidden="1" x14ac:dyDescent="0.25">
      <c r="A22" t="s">
        <v>798</v>
      </c>
      <c r="B22" t="s">
        <v>24</v>
      </c>
      <c r="C22" t="s">
        <v>799</v>
      </c>
      <c r="D22" t="s">
        <v>764</v>
      </c>
      <c r="E22" t="s">
        <v>1166</v>
      </c>
      <c r="F22">
        <v>89104</v>
      </c>
      <c r="G22">
        <v>7758864455</v>
      </c>
      <c r="H22">
        <v>7758864455</v>
      </c>
    </row>
    <row r="23" spans="1:8" hidden="1" x14ac:dyDescent="0.25">
      <c r="A23" t="s">
        <v>800</v>
      </c>
      <c r="B23" t="s">
        <v>24</v>
      </c>
      <c r="C23" t="s">
        <v>801</v>
      </c>
      <c r="D23" t="s">
        <v>767</v>
      </c>
      <c r="E23" t="s">
        <v>1166</v>
      </c>
      <c r="F23">
        <v>89521</v>
      </c>
      <c r="G23">
        <v>7758516000</v>
      </c>
      <c r="H23">
        <v>7758516001</v>
      </c>
    </row>
    <row r="24" spans="1:8" hidden="1" x14ac:dyDescent="0.25">
      <c r="A24" t="s">
        <v>802</v>
      </c>
      <c r="B24" t="s">
        <v>24</v>
      </c>
      <c r="C24" t="s">
        <v>803</v>
      </c>
      <c r="D24" t="s">
        <v>804</v>
      </c>
      <c r="E24" t="s">
        <v>1174</v>
      </c>
      <c r="F24">
        <v>83705</v>
      </c>
      <c r="G24">
        <v>2089397648</v>
      </c>
      <c r="H24">
        <v>2089397649</v>
      </c>
    </row>
    <row r="25" spans="1:8" hidden="1" x14ac:dyDescent="0.25">
      <c r="A25" t="s">
        <v>805</v>
      </c>
      <c r="B25" t="s">
        <v>32</v>
      </c>
      <c r="C25" t="s">
        <v>806</v>
      </c>
      <c r="D25" t="s">
        <v>761</v>
      </c>
      <c r="E25" t="s">
        <v>748</v>
      </c>
      <c r="F25">
        <v>95133</v>
      </c>
      <c r="G25">
        <v>4082548931</v>
      </c>
      <c r="H25">
        <v>4082548931</v>
      </c>
    </row>
    <row r="26" spans="1:8" hidden="1" x14ac:dyDescent="0.25">
      <c r="A26" t="s">
        <v>807</v>
      </c>
      <c r="B26" t="s">
        <v>32</v>
      </c>
      <c r="C26" t="s">
        <v>808</v>
      </c>
      <c r="D26" t="s">
        <v>163</v>
      </c>
      <c r="E26" t="s">
        <v>748</v>
      </c>
      <c r="F26">
        <v>90022</v>
      </c>
      <c r="G26">
        <v>5594318622</v>
      </c>
      <c r="H26">
        <v>5594318622</v>
      </c>
    </row>
    <row r="27" spans="1:8" hidden="1" x14ac:dyDescent="0.25">
      <c r="A27" t="s">
        <v>809</v>
      </c>
      <c r="B27" t="s">
        <v>32</v>
      </c>
      <c r="C27" t="s">
        <v>810</v>
      </c>
      <c r="D27" t="s">
        <v>779</v>
      </c>
      <c r="E27" t="s">
        <v>1167</v>
      </c>
      <c r="F27">
        <v>85044</v>
      </c>
      <c r="G27">
        <v>9287718400</v>
      </c>
      <c r="H27">
        <v>9287718401</v>
      </c>
    </row>
    <row r="28" spans="1:8" hidden="1" x14ac:dyDescent="0.25">
      <c r="A28" t="s">
        <v>811</v>
      </c>
      <c r="B28" t="s">
        <v>32</v>
      </c>
      <c r="C28" t="s">
        <v>812</v>
      </c>
      <c r="D28" t="s">
        <v>813</v>
      </c>
      <c r="E28" t="s">
        <v>1167</v>
      </c>
      <c r="F28">
        <v>85711</v>
      </c>
      <c r="G28">
        <v>5207458001</v>
      </c>
      <c r="H28">
        <v>5207458002</v>
      </c>
    </row>
    <row r="29" spans="1:8" hidden="1" x14ac:dyDescent="0.25">
      <c r="A29" t="s">
        <v>814</v>
      </c>
      <c r="B29" t="s">
        <v>32</v>
      </c>
      <c r="C29" t="s">
        <v>815</v>
      </c>
      <c r="D29" t="s">
        <v>764</v>
      </c>
      <c r="E29" t="s">
        <v>1166</v>
      </c>
      <c r="F29">
        <v>89139</v>
      </c>
      <c r="G29">
        <v>7024515959</v>
      </c>
      <c r="H29">
        <v>7024515958</v>
      </c>
    </row>
    <row r="30" spans="1:8" hidden="1" x14ac:dyDescent="0.25">
      <c r="A30" t="s">
        <v>816</v>
      </c>
      <c r="B30" t="s">
        <v>32</v>
      </c>
      <c r="C30" t="s">
        <v>817</v>
      </c>
      <c r="D30" t="s">
        <v>767</v>
      </c>
      <c r="E30" t="s">
        <v>1166</v>
      </c>
      <c r="F30">
        <v>89511</v>
      </c>
      <c r="G30">
        <v>7758538900</v>
      </c>
      <c r="H30">
        <v>7758538901</v>
      </c>
    </row>
    <row r="31" spans="1:8" hidden="1" x14ac:dyDescent="0.25">
      <c r="A31" t="s">
        <v>818</v>
      </c>
      <c r="B31" t="s">
        <v>32</v>
      </c>
      <c r="C31" t="s">
        <v>819</v>
      </c>
      <c r="D31" t="s">
        <v>776</v>
      </c>
      <c r="E31" t="s">
        <v>1171</v>
      </c>
      <c r="F31">
        <v>84121</v>
      </c>
      <c r="G31">
        <v>4356272030</v>
      </c>
      <c r="H31">
        <v>4356272030</v>
      </c>
    </row>
    <row r="32" spans="1:8" hidden="1" x14ac:dyDescent="0.25">
      <c r="A32" t="s">
        <v>820</v>
      </c>
      <c r="B32" t="s">
        <v>32</v>
      </c>
      <c r="C32" t="s">
        <v>821</v>
      </c>
      <c r="D32" t="s">
        <v>770</v>
      </c>
      <c r="E32" t="s">
        <v>1168</v>
      </c>
      <c r="F32">
        <v>80238</v>
      </c>
      <c r="G32">
        <v>8012553301</v>
      </c>
      <c r="H32">
        <v>8012553302</v>
      </c>
    </row>
    <row r="33" spans="1:8" hidden="1" x14ac:dyDescent="0.25">
      <c r="A33" t="s">
        <v>822</v>
      </c>
      <c r="B33" t="s">
        <v>32</v>
      </c>
      <c r="C33" t="s">
        <v>823</v>
      </c>
      <c r="D33" t="s">
        <v>804</v>
      </c>
      <c r="E33" t="s">
        <v>1174</v>
      </c>
      <c r="F33">
        <v>83704</v>
      </c>
      <c r="G33">
        <v>8012246007</v>
      </c>
      <c r="H33">
        <v>8012246008</v>
      </c>
    </row>
    <row r="34" spans="1:8" hidden="1" x14ac:dyDescent="0.25">
      <c r="A34" t="s">
        <v>824</v>
      </c>
      <c r="B34" t="s">
        <v>32</v>
      </c>
      <c r="C34" t="s">
        <v>825</v>
      </c>
      <c r="D34" t="s">
        <v>155</v>
      </c>
      <c r="E34" t="s">
        <v>1170</v>
      </c>
      <c r="F34">
        <v>98101</v>
      </c>
      <c r="G34">
        <v>3609439955</v>
      </c>
      <c r="H34">
        <v>3609439956</v>
      </c>
    </row>
    <row r="35" spans="1:8" x14ac:dyDescent="0.25">
      <c r="A35" t="s">
        <v>826</v>
      </c>
      <c r="B35" t="s">
        <v>40</v>
      </c>
      <c r="C35" t="s">
        <v>827</v>
      </c>
      <c r="D35" t="s">
        <v>793</v>
      </c>
      <c r="E35" t="s">
        <v>748</v>
      </c>
      <c r="F35">
        <v>95823</v>
      </c>
      <c r="G35">
        <v>6508722021</v>
      </c>
      <c r="H35">
        <v>6508722021</v>
      </c>
    </row>
    <row r="36" spans="1:8" x14ac:dyDescent="0.25">
      <c r="A36" t="s">
        <v>828</v>
      </c>
      <c r="B36" t="s">
        <v>40</v>
      </c>
      <c r="C36" t="s">
        <v>829</v>
      </c>
      <c r="D36" t="s">
        <v>758</v>
      </c>
      <c r="E36" t="s">
        <v>748</v>
      </c>
      <c r="F36">
        <v>92108</v>
      </c>
      <c r="G36">
        <v>6192051501</v>
      </c>
      <c r="H36">
        <v>6192051502</v>
      </c>
    </row>
    <row r="37" spans="1:8" x14ac:dyDescent="0.25">
      <c r="A37" t="s">
        <v>830</v>
      </c>
      <c r="B37" t="s">
        <v>40</v>
      </c>
      <c r="C37" t="s">
        <v>831</v>
      </c>
      <c r="D37" t="s">
        <v>787</v>
      </c>
      <c r="E37" t="s">
        <v>1172</v>
      </c>
      <c r="F37">
        <v>97230</v>
      </c>
      <c r="G37">
        <v>5033711729</v>
      </c>
      <c r="H37">
        <v>5033711728</v>
      </c>
    </row>
    <row r="38" spans="1:8" x14ac:dyDescent="0.25">
      <c r="A38" t="s">
        <v>832</v>
      </c>
      <c r="B38" t="s">
        <v>40</v>
      </c>
      <c r="C38" t="s">
        <v>833</v>
      </c>
      <c r="D38" t="s">
        <v>776</v>
      </c>
      <c r="E38" t="s">
        <v>1171</v>
      </c>
      <c r="F38">
        <v>84115</v>
      </c>
      <c r="G38">
        <v>8013173950</v>
      </c>
      <c r="H38">
        <v>8013173950</v>
      </c>
    </row>
    <row r="39" spans="1:8" hidden="1" x14ac:dyDescent="0.25">
      <c r="A39" t="s">
        <v>834</v>
      </c>
      <c r="B39" t="s">
        <v>120</v>
      </c>
      <c r="C39" t="s">
        <v>835</v>
      </c>
      <c r="D39" t="s">
        <v>773</v>
      </c>
      <c r="E39" t="s">
        <v>1169</v>
      </c>
      <c r="F39">
        <v>82609</v>
      </c>
      <c r="G39">
        <v>3072379361</v>
      </c>
      <c r="H39">
        <v>3072379362</v>
      </c>
    </row>
    <row r="40" spans="1:8" hidden="1" x14ac:dyDescent="0.25">
      <c r="A40" t="s">
        <v>836</v>
      </c>
      <c r="B40" t="s">
        <v>120</v>
      </c>
      <c r="C40" t="s">
        <v>837</v>
      </c>
      <c r="D40" t="s">
        <v>838</v>
      </c>
      <c r="E40" t="s">
        <v>1168</v>
      </c>
      <c r="F40">
        <v>80920</v>
      </c>
      <c r="G40">
        <v>7192829066</v>
      </c>
      <c r="H40">
        <v>7192829067</v>
      </c>
    </row>
    <row r="41" spans="1:8" hidden="1" x14ac:dyDescent="0.25">
      <c r="A41" t="s">
        <v>839</v>
      </c>
      <c r="B41" t="s">
        <v>120</v>
      </c>
      <c r="C41" t="s">
        <v>840</v>
      </c>
      <c r="D41" t="s">
        <v>770</v>
      </c>
      <c r="E41" t="s">
        <v>1168</v>
      </c>
      <c r="F41">
        <v>80209</v>
      </c>
      <c r="G41">
        <v>3037448531</v>
      </c>
      <c r="H41">
        <v>3037448532</v>
      </c>
    </row>
    <row r="42" spans="1:8" hidden="1" x14ac:dyDescent="0.25">
      <c r="A42" t="s">
        <v>841</v>
      </c>
      <c r="B42" t="s">
        <v>128</v>
      </c>
      <c r="C42" t="s">
        <v>842</v>
      </c>
      <c r="D42" t="s">
        <v>755</v>
      </c>
      <c r="E42" t="s">
        <v>748</v>
      </c>
      <c r="F42">
        <v>92805</v>
      </c>
      <c r="G42">
        <v>7149512365</v>
      </c>
      <c r="H42">
        <v>7149512366</v>
      </c>
    </row>
    <row r="43" spans="1:8" hidden="1" x14ac:dyDescent="0.25">
      <c r="A43" t="s">
        <v>843</v>
      </c>
      <c r="B43" t="s">
        <v>128</v>
      </c>
      <c r="C43" t="s">
        <v>844</v>
      </c>
      <c r="D43" t="s">
        <v>813</v>
      </c>
      <c r="E43" t="s">
        <v>1167</v>
      </c>
      <c r="F43">
        <v>85719</v>
      </c>
      <c r="G43">
        <v>5205258585</v>
      </c>
      <c r="H43">
        <v>5205258586</v>
      </c>
    </row>
    <row r="44" spans="1:8" hidden="1" x14ac:dyDescent="0.25">
      <c r="A44" t="s">
        <v>845</v>
      </c>
      <c r="B44" t="s">
        <v>128</v>
      </c>
      <c r="C44" t="s">
        <v>846</v>
      </c>
      <c r="D44" t="s">
        <v>779</v>
      </c>
      <c r="E44" t="s">
        <v>1167</v>
      </c>
      <c r="F44">
        <v>85003</v>
      </c>
      <c r="G44">
        <v>6023342000</v>
      </c>
      <c r="H44">
        <v>6023342001</v>
      </c>
    </row>
    <row r="45" spans="1:8" hidden="1" x14ac:dyDescent="0.25">
      <c r="A45" t="s">
        <v>847</v>
      </c>
      <c r="B45" t="s">
        <v>128</v>
      </c>
      <c r="C45" t="s">
        <v>848</v>
      </c>
      <c r="D45" t="s">
        <v>163</v>
      </c>
      <c r="E45" t="s">
        <v>748</v>
      </c>
      <c r="F45">
        <v>90012</v>
      </c>
      <c r="G45">
        <v>3102589595</v>
      </c>
      <c r="H45">
        <v>3102589596</v>
      </c>
    </row>
    <row r="46" spans="1:8" hidden="1" x14ac:dyDescent="0.25">
      <c r="A46" t="s">
        <v>849</v>
      </c>
      <c r="B46" t="s">
        <v>128</v>
      </c>
      <c r="C46" t="s">
        <v>850</v>
      </c>
      <c r="D46" t="s">
        <v>761</v>
      </c>
      <c r="E46" t="s">
        <v>748</v>
      </c>
      <c r="F46">
        <v>95126</v>
      </c>
      <c r="G46">
        <v>4082914545</v>
      </c>
      <c r="H46">
        <v>4082914546</v>
      </c>
    </row>
    <row r="47" spans="1:8" hidden="1" x14ac:dyDescent="0.25">
      <c r="A47" t="s">
        <v>851</v>
      </c>
      <c r="B47" t="s">
        <v>128</v>
      </c>
      <c r="C47" t="s">
        <v>852</v>
      </c>
      <c r="D47" t="s">
        <v>793</v>
      </c>
      <c r="E47" t="s">
        <v>748</v>
      </c>
      <c r="F47">
        <v>95814</v>
      </c>
      <c r="G47">
        <v>9168587777</v>
      </c>
      <c r="H47">
        <v>9168587776</v>
      </c>
    </row>
    <row r="48" spans="1:8" hidden="1" x14ac:dyDescent="0.25">
      <c r="A48" t="s">
        <v>853</v>
      </c>
      <c r="B48" t="s">
        <v>128</v>
      </c>
      <c r="C48" t="s">
        <v>854</v>
      </c>
      <c r="D48" t="s">
        <v>855</v>
      </c>
      <c r="E48" t="s">
        <v>1173</v>
      </c>
      <c r="F48">
        <v>87112</v>
      </c>
      <c r="G48">
        <v>2084577451</v>
      </c>
      <c r="H48">
        <v>2084577452</v>
      </c>
    </row>
    <row r="49" spans="1:8" hidden="1" x14ac:dyDescent="0.25">
      <c r="A49" t="s">
        <v>856</v>
      </c>
      <c r="B49" t="s">
        <v>128</v>
      </c>
      <c r="C49" t="s">
        <v>857</v>
      </c>
      <c r="D49" t="s">
        <v>764</v>
      </c>
      <c r="E49" t="s">
        <v>1166</v>
      </c>
      <c r="F49">
        <v>89106</v>
      </c>
      <c r="G49">
        <v>7023213362</v>
      </c>
      <c r="H49">
        <v>7023213363</v>
      </c>
    </row>
    <row r="50" spans="1:8" hidden="1" x14ac:dyDescent="0.25">
      <c r="A50" t="s">
        <v>858</v>
      </c>
      <c r="B50" t="s">
        <v>128</v>
      </c>
      <c r="C50" t="s">
        <v>859</v>
      </c>
      <c r="D50" t="s">
        <v>767</v>
      </c>
      <c r="E50" t="s">
        <v>1166</v>
      </c>
      <c r="F50">
        <v>89502</v>
      </c>
      <c r="G50">
        <v>7752636999</v>
      </c>
      <c r="H50">
        <v>7752366998</v>
      </c>
    </row>
    <row r="51" spans="1:8" hidden="1" x14ac:dyDescent="0.25">
      <c r="A51" t="s">
        <v>860</v>
      </c>
      <c r="B51" t="s">
        <v>128</v>
      </c>
      <c r="C51" t="s">
        <v>861</v>
      </c>
      <c r="D51" t="s">
        <v>758</v>
      </c>
      <c r="E51" t="s">
        <v>748</v>
      </c>
      <c r="F51">
        <v>92101</v>
      </c>
      <c r="G51">
        <v>6198542223</v>
      </c>
      <c r="H51">
        <v>6198542224</v>
      </c>
    </row>
    <row r="52" spans="1:8" hidden="1" x14ac:dyDescent="0.25">
      <c r="A52" t="s">
        <v>862</v>
      </c>
      <c r="B52" t="s">
        <v>136</v>
      </c>
      <c r="C52" t="s">
        <v>863</v>
      </c>
      <c r="D52" t="s">
        <v>864</v>
      </c>
      <c r="E52" t="s">
        <v>1170</v>
      </c>
      <c r="F52">
        <v>98663</v>
      </c>
      <c r="G52">
        <v>3603288745</v>
      </c>
      <c r="H52">
        <v>3603288755</v>
      </c>
    </row>
    <row r="53" spans="1:8" hidden="1" x14ac:dyDescent="0.25">
      <c r="A53" t="s">
        <v>865</v>
      </c>
      <c r="B53" t="s">
        <v>136</v>
      </c>
      <c r="C53" t="s">
        <v>866</v>
      </c>
      <c r="D53" t="s">
        <v>155</v>
      </c>
      <c r="E53" t="s">
        <v>1170</v>
      </c>
      <c r="F53">
        <v>98112</v>
      </c>
      <c r="G53">
        <v>2061254122</v>
      </c>
      <c r="H53">
        <v>2061254123</v>
      </c>
    </row>
    <row r="54" spans="1:8" hidden="1" x14ac:dyDescent="0.25">
      <c r="A54" t="s">
        <v>867</v>
      </c>
      <c r="B54" t="s">
        <v>136</v>
      </c>
      <c r="C54" t="s">
        <v>868</v>
      </c>
      <c r="D54" t="s">
        <v>784</v>
      </c>
      <c r="E54" t="s">
        <v>1170</v>
      </c>
      <c r="F54">
        <v>99202</v>
      </c>
      <c r="G54">
        <v>5094822733</v>
      </c>
      <c r="H54">
        <v>5094822734</v>
      </c>
    </row>
    <row r="55" spans="1:8" hidden="1" x14ac:dyDescent="0.25">
      <c r="A55" t="s">
        <v>869</v>
      </c>
      <c r="B55" t="s">
        <v>136</v>
      </c>
      <c r="C55" t="s">
        <v>870</v>
      </c>
      <c r="D55" t="s">
        <v>773</v>
      </c>
      <c r="E55" t="s">
        <v>1169</v>
      </c>
      <c r="F55">
        <v>82609</v>
      </c>
      <c r="G55">
        <v>3075772855</v>
      </c>
      <c r="H55">
        <v>3075775856</v>
      </c>
    </row>
    <row r="56" spans="1:8" hidden="1" x14ac:dyDescent="0.25">
      <c r="A56" t="s">
        <v>871</v>
      </c>
      <c r="B56" t="s">
        <v>136</v>
      </c>
      <c r="C56" t="s">
        <v>872</v>
      </c>
      <c r="D56" t="s">
        <v>755</v>
      </c>
      <c r="E56" t="s">
        <v>748</v>
      </c>
      <c r="F56">
        <v>92805</v>
      </c>
      <c r="G56">
        <v>7145356266</v>
      </c>
      <c r="H56">
        <v>7145356269</v>
      </c>
    </row>
    <row r="57" spans="1:8" hidden="1" x14ac:dyDescent="0.25">
      <c r="A57" t="s">
        <v>873</v>
      </c>
      <c r="B57" t="s">
        <v>136</v>
      </c>
      <c r="C57" t="s">
        <v>874</v>
      </c>
      <c r="D57" t="s">
        <v>787</v>
      </c>
      <c r="E57" t="s">
        <v>1172</v>
      </c>
      <c r="F57">
        <v>97209</v>
      </c>
      <c r="G57">
        <v>5032058454</v>
      </c>
      <c r="H57">
        <v>5032055455</v>
      </c>
    </row>
    <row r="58" spans="1:8" hidden="1" x14ac:dyDescent="0.25">
      <c r="A58" t="s">
        <v>875</v>
      </c>
      <c r="B58" t="s">
        <v>136</v>
      </c>
      <c r="C58" t="s">
        <v>876</v>
      </c>
      <c r="D58" t="s">
        <v>790</v>
      </c>
      <c r="E58" t="s">
        <v>1172</v>
      </c>
      <c r="F58">
        <v>97401</v>
      </c>
      <c r="G58">
        <v>5416835499</v>
      </c>
      <c r="H58">
        <v>5416835499</v>
      </c>
    </row>
    <row r="59" spans="1:8" hidden="1" x14ac:dyDescent="0.25">
      <c r="A59" t="s">
        <v>877</v>
      </c>
      <c r="B59" t="s">
        <v>136</v>
      </c>
      <c r="C59" t="s">
        <v>878</v>
      </c>
      <c r="D59" t="s">
        <v>793</v>
      </c>
      <c r="E59" t="s">
        <v>748</v>
      </c>
      <c r="F59">
        <v>95814</v>
      </c>
      <c r="G59">
        <v>9164922589</v>
      </c>
      <c r="H59">
        <v>9164922588</v>
      </c>
    </row>
    <row r="60" spans="1:8" hidden="1" x14ac:dyDescent="0.25">
      <c r="A60" t="s">
        <v>879</v>
      </c>
      <c r="B60" t="s">
        <v>136</v>
      </c>
      <c r="C60" t="s">
        <v>880</v>
      </c>
      <c r="D60" t="s">
        <v>761</v>
      </c>
      <c r="E60" t="s">
        <v>748</v>
      </c>
      <c r="F60">
        <v>95113</v>
      </c>
      <c r="G60">
        <v>4082926352</v>
      </c>
      <c r="H60">
        <v>4082926355</v>
      </c>
    </row>
    <row r="61" spans="1:8" hidden="1" x14ac:dyDescent="0.25">
      <c r="A61" t="s">
        <v>881</v>
      </c>
      <c r="B61" t="s">
        <v>136</v>
      </c>
      <c r="C61" t="s">
        <v>882</v>
      </c>
      <c r="D61" t="s">
        <v>163</v>
      </c>
      <c r="E61" t="s">
        <v>748</v>
      </c>
      <c r="F61">
        <v>90027</v>
      </c>
      <c r="G61">
        <v>2134835245</v>
      </c>
      <c r="H61">
        <v>2134835442</v>
      </c>
    </row>
    <row r="62" spans="1:8" hidden="1" x14ac:dyDescent="0.25">
      <c r="A62" t="s">
        <v>883</v>
      </c>
      <c r="B62" t="s">
        <v>144</v>
      </c>
      <c r="C62" t="s">
        <v>884</v>
      </c>
      <c r="D62" t="s">
        <v>770</v>
      </c>
      <c r="E62" t="s">
        <v>1168</v>
      </c>
      <c r="F62">
        <v>80204</v>
      </c>
      <c r="G62">
        <v>3035715566</v>
      </c>
      <c r="H62">
        <v>3035715567</v>
      </c>
    </row>
    <row r="63" spans="1:8" hidden="1" x14ac:dyDescent="0.25">
      <c r="A63" t="s">
        <v>885</v>
      </c>
      <c r="B63" t="s">
        <v>144</v>
      </c>
      <c r="C63" t="s">
        <v>886</v>
      </c>
      <c r="D63" t="s">
        <v>838</v>
      </c>
      <c r="E63" t="s">
        <v>1168</v>
      </c>
      <c r="F63">
        <v>80904</v>
      </c>
      <c r="G63">
        <v>7196365043</v>
      </c>
      <c r="H63">
        <v>7196365042</v>
      </c>
    </row>
    <row r="64" spans="1:8" hidden="1" x14ac:dyDescent="0.25">
      <c r="A64" t="s">
        <v>887</v>
      </c>
      <c r="B64" t="s">
        <v>144</v>
      </c>
      <c r="C64" t="s">
        <v>888</v>
      </c>
      <c r="D64" t="s">
        <v>804</v>
      </c>
      <c r="E64" t="s">
        <v>1174</v>
      </c>
      <c r="F64">
        <v>83705</v>
      </c>
      <c r="G64">
        <v>2084296400</v>
      </c>
      <c r="H64">
        <v>2084296401</v>
      </c>
    </row>
    <row r="65" spans="1:8" hidden="1" x14ac:dyDescent="0.25">
      <c r="A65" t="s">
        <v>889</v>
      </c>
      <c r="B65" t="s">
        <v>144</v>
      </c>
      <c r="C65" t="s">
        <v>890</v>
      </c>
      <c r="D65" t="s">
        <v>855</v>
      </c>
      <c r="E65" t="s">
        <v>1173</v>
      </c>
      <c r="F65">
        <v>87102</v>
      </c>
      <c r="G65">
        <v>2085554425</v>
      </c>
      <c r="H65">
        <v>2085544266</v>
      </c>
    </row>
    <row r="66" spans="1:8" hidden="1" x14ac:dyDescent="0.25">
      <c r="A66" t="s">
        <v>891</v>
      </c>
      <c r="B66" t="s">
        <v>144</v>
      </c>
      <c r="C66" t="s">
        <v>892</v>
      </c>
      <c r="D66" t="s">
        <v>764</v>
      </c>
      <c r="E66" t="s">
        <v>1166</v>
      </c>
      <c r="F66">
        <v>89109</v>
      </c>
      <c r="G66">
        <v>7027358928</v>
      </c>
      <c r="H66">
        <v>7027358929</v>
      </c>
    </row>
    <row r="67" spans="1:8" hidden="1" x14ac:dyDescent="0.25">
      <c r="A67" t="s">
        <v>893</v>
      </c>
      <c r="B67" t="s">
        <v>144</v>
      </c>
      <c r="C67" t="s">
        <v>894</v>
      </c>
      <c r="D67" t="s">
        <v>813</v>
      </c>
      <c r="E67" t="s">
        <v>1167</v>
      </c>
      <c r="F67">
        <v>85705</v>
      </c>
      <c r="G67">
        <v>5206221976</v>
      </c>
      <c r="H67">
        <v>5206221977</v>
      </c>
    </row>
    <row r="68" spans="1:8" hidden="1" x14ac:dyDescent="0.25">
      <c r="A68" t="s">
        <v>895</v>
      </c>
      <c r="B68" t="s">
        <v>144</v>
      </c>
      <c r="C68" t="s">
        <v>896</v>
      </c>
      <c r="D68" t="s">
        <v>787</v>
      </c>
      <c r="E68" t="s">
        <v>1172</v>
      </c>
      <c r="F68">
        <v>97209</v>
      </c>
      <c r="G68">
        <v>5032732004</v>
      </c>
      <c r="H68">
        <v>5032732004</v>
      </c>
    </row>
    <row r="69" spans="1:8" hidden="1" x14ac:dyDescent="0.25">
      <c r="A69" t="s">
        <v>897</v>
      </c>
      <c r="B69" t="s">
        <v>144</v>
      </c>
      <c r="C69" t="s">
        <v>898</v>
      </c>
      <c r="D69" t="s">
        <v>155</v>
      </c>
      <c r="E69" t="s">
        <v>1170</v>
      </c>
      <c r="F69">
        <v>98122</v>
      </c>
      <c r="G69">
        <v>2068603818</v>
      </c>
      <c r="H69">
        <v>2068603812</v>
      </c>
    </row>
    <row r="70" spans="1:8" hidden="1" x14ac:dyDescent="0.25">
      <c r="A70" t="s">
        <v>899</v>
      </c>
      <c r="B70" t="s">
        <v>144</v>
      </c>
      <c r="C70" t="s">
        <v>900</v>
      </c>
      <c r="D70" t="s">
        <v>773</v>
      </c>
      <c r="E70" t="s">
        <v>1169</v>
      </c>
      <c r="F70">
        <v>82601</v>
      </c>
      <c r="G70">
        <v>3072651896</v>
      </c>
      <c r="H70">
        <v>3072651895</v>
      </c>
    </row>
    <row r="71" spans="1:8" hidden="1" x14ac:dyDescent="0.25">
      <c r="A71" t="s">
        <v>901</v>
      </c>
      <c r="B71" t="s">
        <v>144</v>
      </c>
      <c r="C71" t="s">
        <v>886</v>
      </c>
      <c r="D71" t="s">
        <v>838</v>
      </c>
      <c r="E71" t="s">
        <v>1168</v>
      </c>
      <c r="F71">
        <v>80904</v>
      </c>
      <c r="G71">
        <v>7196365043</v>
      </c>
      <c r="H71">
        <v>7196365044</v>
      </c>
    </row>
    <row r="72" spans="1:8" hidden="1" x14ac:dyDescent="0.25">
      <c r="A72" t="s">
        <v>902</v>
      </c>
      <c r="B72" t="s">
        <v>152</v>
      </c>
      <c r="C72" t="s">
        <v>903</v>
      </c>
      <c r="D72" t="s">
        <v>776</v>
      </c>
      <c r="E72" t="s">
        <v>1171</v>
      </c>
      <c r="F72">
        <v>84102</v>
      </c>
      <c r="G72">
        <v>8013286000</v>
      </c>
      <c r="H72">
        <v>8013286001</v>
      </c>
    </row>
    <row r="73" spans="1:8" hidden="1" x14ac:dyDescent="0.25">
      <c r="A73" t="s">
        <v>904</v>
      </c>
      <c r="B73" t="s">
        <v>152</v>
      </c>
      <c r="C73" t="s">
        <v>905</v>
      </c>
      <c r="D73" t="s">
        <v>779</v>
      </c>
      <c r="E73" t="s">
        <v>1167</v>
      </c>
      <c r="F73">
        <v>85016</v>
      </c>
      <c r="G73">
        <v>6024689155</v>
      </c>
      <c r="H73">
        <v>6024689156</v>
      </c>
    </row>
    <row r="74" spans="1:8" hidden="1" x14ac:dyDescent="0.25">
      <c r="A74" t="s">
        <v>906</v>
      </c>
      <c r="B74" t="s">
        <v>64</v>
      </c>
      <c r="C74" t="s">
        <v>907</v>
      </c>
      <c r="D74" t="s">
        <v>784</v>
      </c>
      <c r="E74" t="s">
        <v>1170</v>
      </c>
      <c r="F74">
        <v>99207</v>
      </c>
      <c r="G74">
        <v>5094878991</v>
      </c>
      <c r="H74">
        <v>5094878992</v>
      </c>
    </row>
    <row r="75" spans="1:8" hidden="1" x14ac:dyDescent="0.25">
      <c r="A75" t="s">
        <v>908</v>
      </c>
      <c r="B75" t="s">
        <v>64</v>
      </c>
      <c r="C75" t="s">
        <v>909</v>
      </c>
      <c r="D75" t="s">
        <v>770</v>
      </c>
      <c r="E75" t="s">
        <v>1168</v>
      </c>
      <c r="F75">
        <v>80202</v>
      </c>
      <c r="G75">
        <v>9702244437</v>
      </c>
      <c r="H75">
        <v>9702244438</v>
      </c>
    </row>
    <row r="76" spans="1:8" hidden="1" x14ac:dyDescent="0.25">
      <c r="A76" t="s">
        <v>910</v>
      </c>
      <c r="B76" t="s">
        <v>72</v>
      </c>
      <c r="C76" t="s">
        <v>911</v>
      </c>
      <c r="D76" t="s">
        <v>758</v>
      </c>
      <c r="E76" t="s">
        <v>748</v>
      </c>
      <c r="F76">
        <v>92101</v>
      </c>
      <c r="G76">
        <v>6194358032</v>
      </c>
      <c r="H76">
        <v>6194358033</v>
      </c>
    </row>
    <row r="77" spans="1:8" hidden="1" x14ac:dyDescent="0.25">
      <c r="A77" t="s">
        <v>912</v>
      </c>
      <c r="B77" t="s">
        <v>72</v>
      </c>
      <c r="C77" t="s">
        <v>913</v>
      </c>
      <c r="D77" t="s">
        <v>163</v>
      </c>
      <c r="E77" t="s">
        <v>748</v>
      </c>
      <c r="F77">
        <v>90020</v>
      </c>
      <c r="G77">
        <v>7604403380</v>
      </c>
      <c r="H77">
        <v>7604403381</v>
      </c>
    </row>
    <row r="78" spans="1:8" hidden="1" x14ac:dyDescent="0.25">
      <c r="A78" t="s">
        <v>914</v>
      </c>
      <c r="B78" t="s">
        <v>72</v>
      </c>
      <c r="C78" t="s">
        <v>915</v>
      </c>
      <c r="D78" t="s">
        <v>761</v>
      </c>
      <c r="E78" t="s">
        <v>748</v>
      </c>
      <c r="F78">
        <v>95125</v>
      </c>
      <c r="G78">
        <v>7606020400</v>
      </c>
      <c r="H78">
        <v>7606020401</v>
      </c>
    </row>
    <row r="79" spans="1:8" hidden="1" x14ac:dyDescent="0.25">
      <c r="A79" t="s">
        <v>916</v>
      </c>
      <c r="B79" t="s">
        <v>72</v>
      </c>
      <c r="C79" t="s">
        <v>917</v>
      </c>
      <c r="D79" t="s">
        <v>793</v>
      </c>
      <c r="E79" t="s">
        <v>748</v>
      </c>
      <c r="F79">
        <v>95815</v>
      </c>
      <c r="G79">
        <v>8056715024</v>
      </c>
      <c r="H79">
        <v>8056715025</v>
      </c>
    </row>
    <row r="80" spans="1:8" hidden="1" x14ac:dyDescent="0.25">
      <c r="A80" t="s">
        <v>918</v>
      </c>
      <c r="B80" t="s">
        <v>72</v>
      </c>
      <c r="C80" t="s">
        <v>919</v>
      </c>
      <c r="D80" t="s">
        <v>804</v>
      </c>
      <c r="E80" t="s">
        <v>1174</v>
      </c>
      <c r="F80">
        <v>83703</v>
      </c>
      <c r="G80">
        <v>8187846274</v>
      </c>
      <c r="H80">
        <v>8187846273</v>
      </c>
    </row>
    <row r="81" spans="1:8" hidden="1" x14ac:dyDescent="0.25">
      <c r="A81" t="s">
        <v>920</v>
      </c>
      <c r="B81" t="s">
        <v>72</v>
      </c>
      <c r="C81" t="s">
        <v>921</v>
      </c>
      <c r="D81" t="s">
        <v>776</v>
      </c>
      <c r="E81" t="s">
        <v>1171</v>
      </c>
      <c r="F81">
        <v>84102</v>
      </c>
      <c r="G81">
        <v>7148924463</v>
      </c>
      <c r="H81">
        <v>7148924464</v>
      </c>
    </row>
    <row r="82" spans="1:8" hidden="1" x14ac:dyDescent="0.25">
      <c r="A82" t="s">
        <v>922</v>
      </c>
      <c r="B82" t="s">
        <v>72</v>
      </c>
      <c r="C82" t="s">
        <v>923</v>
      </c>
      <c r="D82" t="s">
        <v>784</v>
      </c>
      <c r="E82" t="s">
        <v>1170</v>
      </c>
      <c r="F82">
        <v>99207</v>
      </c>
      <c r="G82">
        <v>5302736608</v>
      </c>
      <c r="H82">
        <v>5302736609</v>
      </c>
    </row>
    <row r="83" spans="1:8" hidden="1" x14ac:dyDescent="0.25">
      <c r="A83" t="s">
        <v>924</v>
      </c>
      <c r="B83" t="s">
        <v>72</v>
      </c>
      <c r="C83" t="s">
        <v>925</v>
      </c>
      <c r="D83" t="s">
        <v>773</v>
      </c>
      <c r="E83" t="s">
        <v>1169</v>
      </c>
      <c r="F83">
        <v>82609</v>
      </c>
      <c r="G83">
        <v>2097721337</v>
      </c>
      <c r="H83">
        <v>2097721338</v>
      </c>
    </row>
    <row r="84" spans="1:8" hidden="1" x14ac:dyDescent="0.25">
      <c r="A84" t="s">
        <v>926</v>
      </c>
      <c r="B84" t="s">
        <v>80</v>
      </c>
      <c r="C84" t="s">
        <v>927</v>
      </c>
      <c r="D84" t="s">
        <v>776</v>
      </c>
      <c r="E84" t="s">
        <v>1171</v>
      </c>
      <c r="F84">
        <v>84115</v>
      </c>
      <c r="G84">
        <v>8018265686</v>
      </c>
      <c r="H84">
        <v>8018265687</v>
      </c>
    </row>
    <row r="85" spans="1:8" hidden="1" x14ac:dyDescent="0.25">
      <c r="A85" t="s">
        <v>928</v>
      </c>
      <c r="B85" t="s">
        <v>80</v>
      </c>
      <c r="C85" t="s">
        <v>929</v>
      </c>
      <c r="D85" t="s">
        <v>787</v>
      </c>
      <c r="E85" t="s">
        <v>1172</v>
      </c>
      <c r="F85">
        <v>97223</v>
      </c>
      <c r="G85">
        <v>8016250209</v>
      </c>
      <c r="H85">
        <v>8016250208</v>
      </c>
    </row>
    <row r="86" spans="1:8" hidden="1" x14ac:dyDescent="0.25">
      <c r="A86" t="s">
        <v>930</v>
      </c>
      <c r="B86" t="s">
        <v>80</v>
      </c>
      <c r="C86" t="s">
        <v>931</v>
      </c>
      <c r="D86" t="s">
        <v>155</v>
      </c>
      <c r="E86" t="s">
        <v>1170</v>
      </c>
      <c r="F86">
        <v>98125</v>
      </c>
      <c r="G86">
        <v>6024549566</v>
      </c>
      <c r="H86">
        <v>6024549567</v>
      </c>
    </row>
    <row r="87" spans="1:8" hidden="1" x14ac:dyDescent="0.25">
      <c r="A87" t="s">
        <v>932</v>
      </c>
      <c r="B87" t="s">
        <v>80</v>
      </c>
      <c r="C87" t="s">
        <v>933</v>
      </c>
      <c r="D87" t="s">
        <v>813</v>
      </c>
      <c r="E87" t="s">
        <v>1167</v>
      </c>
      <c r="F87">
        <v>85706</v>
      </c>
      <c r="G87">
        <v>6023062741</v>
      </c>
      <c r="H87">
        <v>6023062742</v>
      </c>
    </row>
    <row r="88" spans="1:8" hidden="1" x14ac:dyDescent="0.25">
      <c r="A88" t="s">
        <v>934</v>
      </c>
      <c r="B88" t="s">
        <v>80</v>
      </c>
      <c r="C88" t="s">
        <v>935</v>
      </c>
      <c r="D88" t="s">
        <v>764</v>
      </c>
      <c r="E88" t="s">
        <v>1166</v>
      </c>
      <c r="F88">
        <v>89108</v>
      </c>
      <c r="G88">
        <v>7025388566</v>
      </c>
      <c r="H88">
        <v>7025385867</v>
      </c>
    </row>
    <row r="89" spans="1:8" hidden="1" x14ac:dyDescent="0.25">
      <c r="A89" t="s">
        <v>936</v>
      </c>
      <c r="B89" t="s">
        <v>80</v>
      </c>
      <c r="C89" t="s">
        <v>937</v>
      </c>
      <c r="D89" t="s">
        <v>767</v>
      </c>
      <c r="E89" t="s">
        <v>1166</v>
      </c>
      <c r="F89">
        <v>89502</v>
      </c>
      <c r="G89">
        <v>7754489797</v>
      </c>
      <c r="H89">
        <v>7754489796</v>
      </c>
    </row>
    <row r="90" spans="1:8" hidden="1" x14ac:dyDescent="0.25">
      <c r="A90" t="s">
        <v>938</v>
      </c>
      <c r="B90" t="s">
        <v>80</v>
      </c>
      <c r="C90" t="s">
        <v>939</v>
      </c>
      <c r="D90" t="s">
        <v>855</v>
      </c>
      <c r="E90" t="s">
        <v>1173</v>
      </c>
      <c r="F90">
        <v>87123</v>
      </c>
      <c r="G90">
        <v>2084679093</v>
      </c>
      <c r="H90">
        <v>2084679094</v>
      </c>
    </row>
    <row r="91" spans="1:8" hidden="1" x14ac:dyDescent="0.25">
      <c r="A91" t="s">
        <v>940</v>
      </c>
      <c r="B91" t="s">
        <v>80</v>
      </c>
      <c r="C91" t="s">
        <v>941</v>
      </c>
      <c r="D91" t="s">
        <v>804</v>
      </c>
      <c r="E91" t="s">
        <v>1174</v>
      </c>
      <c r="F91">
        <v>83709</v>
      </c>
      <c r="G91">
        <v>2088551424</v>
      </c>
      <c r="H91">
        <v>2088551425</v>
      </c>
    </row>
    <row r="92" spans="1:8" hidden="1" x14ac:dyDescent="0.25">
      <c r="A92" t="s">
        <v>942</v>
      </c>
      <c r="B92" t="s">
        <v>80</v>
      </c>
      <c r="C92" t="s">
        <v>943</v>
      </c>
      <c r="D92" t="s">
        <v>838</v>
      </c>
      <c r="E92" t="s">
        <v>1168</v>
      </c>
      <c r="F92">
        <v>80922</v>
      </c>
      <c r="G92">
        <v>9707485523</v>
      </c>
      <c r="H92">
        <v>9707485524</v>
      </c>
    </row>
    <row r="93" spans="1:8" hidden="1" x14ac:dyDescent="0.25">
      <c r="A93" t="s">
        <v>944</v>
      </c>
      <c r="B93" t="s">
        <v>80</v>
      </c>
      <c r="C93" t="s">
        <v>945</v>
      </c>
      <c r="D93" t="s">
        <v>779</v>
      </c>
      <c r="E93" t="s">
        <v>1167</v>
      </c>
      <c r="F93">
        <v>85016</v>
      </c>
      <c r="G93">
        <v>9705772625</v>
      </c>
      <c r="H93">
        <v>9705873626</v>
      </c>
    </row>
    <row r="94" spans="1:8" hidden="1" x14ac:dyDescent="0.25">
      <c r="A94" t="s">
        <v>946</v>
      </c>
      <c r="B94" t="s">
        <v>88</v>
      </c>
      <c r="C94" t="s">
        <v>947</v>
      </c>
      <c r="D94" t="s">
        <v>163</v>
      </c>
      <c r="E94" t="s">
        <v>748</v>
      </c>
      <c r="F94">
        <v>90034</v>
      </c>
      <c r="G94">
        <v>7209630375</v>
      </c>
      <c r="H94">
        <v>7209630378</v>
      </c>
    </row>
    <row r="95" spans="1:8" hidden="1" x14ac:dyDescent="0.25">
      <c r="A95" t="s">
        <v>948</v>
      </c>
      <c r="B95" t="s">
        <v>88</v>
      </c>
      <c r="C95" t="s">
        <v>949</v>
      </c>
      <c r="D95" t="s">
        <v>787</v>
      </c>
      <c r="E95" t="s">
        <v>1172</v>
      </c>
      <c r="F95">
        <v>97209</v>
      </c>
      <c r="G95">
        <v>5032200148</v>
      </c>
      <c r="H95">
        <v>5032200149</v>
      </c>
    </row>
    <row r="96" spans="1:8" hidden="1" x14ac:dyDescent="0.25">
      <c r="A96" t="s">
        <v>950</v>
      </c>
      <c r="B96" t="s">
        <v>88</v>
      </c>
      <c r="C96" t="s">
        <v>951</v>
      </c>
      <c r="D96" t="s">
        <v>864</v>
      </c>
      <c r="E96" t="s">
        <v>1170</v>
      </c>
      <c r="F96">
        <v>98662</v>
      </c>
      <c r="G96">
        <v>3602541916</v>
      </c>
      <c r="H96">
        <v>3602541917</v>
      </c>
    </row>
    <row r="97" spans="1:8" hidden="1" x14ac:dyDescent="0.25">
      <c r="A97" t="s">
        <v>952</v>
      </c>
      <c r="B97" t="s">
        <v>88</v>
      </c>
      <c r="C97" t="s">
        <v>953</v>
      </c>
      <c r="D97" t="s">
        <v>761</v>
      </c>
      <c r="E97" t="s">
        <v>748</v>
      </c>
      <c r="F97">
        <v>95125</v>
      </c>
      <c r="G97">
        <v>2067898839</v>
      </c>
      <c r="H97">
        <v>2067898835</v>
      </c>
    </row>
    <row r="98" spans="1:8" hidden="1" x14ac:dyDescent="0.25">
      <c r="A98" t="s">
        <v>954</v>
      </c>
      <c r="B98" t="s">
        <v>88</v>
      </c>
      <c r="C98" t="s">
        <v>955</v>
      </c>
      <c r="D98" t="s">
        <v>804</v>
      </c>
      <c r="E98" t="s">
        <v>1174</v>
      </c>
      <c r="F98">
        <v>83706</v>
      </c>
      <c r="G98">
        <v>2084220360</v>
      </c>
      <c r="H98">
        <v>2084220365</v>
      </c>
    </row>
    <row r="99" spans="1:8" hidden="1" x14ac:dyDescent="0.25">
      <c r="A99" t="s">
        <v>956</v>
      </c>
      <c r="B99" t="s">
        <v>88</v>
      </c>
      <c r="C99" t="s">
        <v>957</v>
      </c>
      <c r="D99" t="s">
        <v>767</v>
      </c>
      <c r="E99" t="s">
        <v>1166</v>
      </c>
      <c r="F99">
        <v>89502</v>
      </c>
      <c r="G99">
        <v>7758536666</v>
      </c>
      <c r="H99">
        <v>7758536668</v>
      </c>
    </row>
    <row r="100" spans="1:8" hidden="1" x14ac:dyDescent="0.25">
      <c r="A100" t="s">
        <v>958</v>
      </c>
      <c r="B100" t="s">
        <v>88</v>
      </c>
      <c r="C100" t="s">
        <v>959</v>
      </c>
      <c r="D100" t="s">
        <v>855</v>
      </c>
      <c r="E100" t="s">
        <v>1173</v>
      </c>
      <c r="F100">
        <v>87123</v>
      </c>
      <c r="G100">
        <v>4089781129</v>
      </c>
      <c r="H100">
        <v>4089781128</v>
      </c>
    </row>
    <row r="101" spans="1:8" hidden="1" x14ac:dyDescent="0.25">
      <c r="A101" t="s">
        <v>960</v>
      </c>
      <c r="B101" t="s">
        <v>88</v>
      </c>
      <c r="C101" t="s">
        <v>961</v>
      </c>
      <c r="D101" t="s">
        <v>793</v>
      </c>
      <c r="E101" t="s">
        <v>748</v>
      </c>
      <c r="F101">
        <v>95814</v>
      </c>
      <c r="G101">
        <v>6502540102</v>
      </c>
      <c r="H101">
        <v>6502540103</v>
      </c>
    </row>
    <row r="102" spans="1:8" hidden="1" x14ac:dyDescent="0.25">
      <c r="A102" t="s">
        <v>962</v>
      </c>
      <c r="B102" t="s">
        <v>88</v>
      </c>
      <c r="C102" t="s">
        <v>963</v>
      </c>
      <c r="D102" t="s">
        <v>779</v>
      </c>
      <c r="E102" t="s">
        <v>1167</v>
      </c>
      <c r="F102">
        <v>85013</v>
      </c>
      <c r="G102">
        <v>6022659515</v>
      </c>
      <c r="H102">
        <v>6022659514</v>
      </c>
    </row>
    <row r="103" spans="1:8" hidden="1" x14ac:dyDescent="0.25">
      <c r="A103" t="s">
        <v>964</v>
      </c>
      <c r="B103" t="s">
        <v>88</v>
      </c>
      <c r="C103" t="s">
        <v>965</v>
      </c>
      <c r="D103" t="s">
        <v>790</v>
      </c>
      <c r="E103" t="s">
        <v>1172</v>
      </c>
      <c r="F103">
        <v>97405</v>
      </c>
      <c r="G103">
        <v>7145053942</v>
      </c>
      <c r="H103">
        <v>7145053943</v>
      </c>
    </row>
    <row r="104" spans="1:8" hidden="1" x14ac:dyDescent="0.25">
      <c r="A104" t="s">
        <v>966</v>
      </c>
      <c r="B104" t="s">
        <v>96</v>
      </c>
      <c r="C104" t="s">
        <v>967</v>
      </c>
      <c r="D104" t="s">
        <v>755</v>
      </c>
      <c r="E104" t="s">
        <v>748</v>
      </c>
      <c r="F104">
        <v>92804</v>
      </c>
      <c r="G104">
        <v>3607548014</v>
      </c>
      <c r="H104">
        <v>3607548015</v>
      </c>
    </row>
    <row r="105" spans="1:8" hidden="1" x14ac:dyDescent="0.25">
      <c r="A105" t="s">
        <v>968</v>
      </c>
      <c r="B105" t="s">
        <v>96</v>
      </c>
      <c r="C105" t="s">
        <v>969</v>
      </c>
      <c r="D105" t="s">
        <v>155</v>
      </c>
      <c r="E105" t="s">
        <v>1170</v>
      </c>
      <c r="F105">
        <v>98136</v>
      </c>
      <c r="G105">
        <v>2069372191</v>
      </c>
      <c r="H105">
        <v>2069372192</v>
      </c>
    </row>
    <row r="106" spans="1:8" hidden="1" x14ac:dyDescent="0.25">
      <c r="A106" t="s">
        <v>970</v>
      </c>
      <c r="B106" t="s">
        <v>96</v>
      </c>
      <c r="C106" t="s">
        <v>971</v>
      </c>
      <c r="D106" t="s">
        <v>790</v>
      </c>
      <c r="E106" t="s">
        <v>1172</v>
      </c>
      <c r="F106">
        <v>97405</v>
      </c>
      <c r="G106">
        <v>4254546513</v>
      </c>
      <c r="H106">
        <v>4254546515</v>
      </c>
    </row>
    <row r="107" spans="1:8" hidden="1" x14ac:dyDescent="0.25">
      <c r="A107" t="s">
        <v>972</v>
      </c>
      <c r="B107" t="s">
        <v>96</v>
      </c>
      <c r="C107" t="s">
        <v>973</v>
      </c>
      <c r="D107" t="s">
        <v>864</v>
      </c>
      <c r="E107" t="s">
        <v>1170</v>
      </c>
      <c r="F107">
        <v>98682</v>
      </c>
      <c r="G107">
        <v>3602535613</v>
      </c>
      <c r="H107">
        <v>3602535615</v>
      </c>
    </row>
    <row r="108" spans="1:8" hidden="1" x14ac:dyDescent="0.25">
      <c r="A108" t="s">
        <v>974</v>
      </c>
      <c r="B108" t="s">
        <v>96</v>
      </c>
      <c r="C108" t="s">
        <v>975</v>
      </c>
      <c r="D108" t="s">
        <v>793</v>
      </c>
      <c r="E108" t="s">
        <v>748</v>
      </c>
      <c r="F108">
        <v>95815</v>
      </c>
      <c r="G108">
        <v>9169225433</v>
      </c>
      <c r="H108">
        <v>9169225434</v>
      </c>
    </row>
    <row r="109" spans="1:8" hidden="1" x14ac:dyDescent="0.25">
      <c r="A109" t="s">
        <v>976</v>
      </c>
      <c r="B109" t="s">
        <v>96</v>
      </c>
      <c r="C109" t="s">
        <v>977</v>
      </c>
      <c r="D109" t="s">
        <v>761</v>
      </c>
      <c r="E109" t="s">
        <v>748</v>
      </c>
      <c r="F109">
        <v>95127</v>
      </c>
      <c r="G109">
        <v>5594410998</v>
      </c>
      <c r="H109">
        <v>5594410996</v>
      </c>
    </row>
    <row r="110" spans="1:8" hidden="1" x14ac:dyDescent="0.25">
      <c r="A110" t="s">
        <v>978</v>
      </c>
      <c r="B110" t="s">
        <v>96</v>
      </c>
      <c r="C110" t="s">
        <v>979</v>
      </c>
      <c r="D110" t="s">
        <v>770</v>
      </c>
      <c r="E110" t="s">
        <v>1168</v>
      </c>
      <c r="F110">
        <v>80202</v>
      </c>
      <c r="G110">
        <v>6613248974</v>
      </c>
      <c r="H110">
        <v>6613248975</v>
      </c>
    </row>
    <row r="111" spans="1:8" hidden="1" x14ac:dyDescent="0.25">
      <c r="A111" t="s">
        <v>980</v>
      </c>
      <c r="B111" t="s">
        <v>96</v>
      </c>
      <c r="C111" t="s">
        <v>981</v>
      </c>
      <c r="D111" t="s">
        <v>804</v>
      </c>
      <c r="E111" t="s">
        <v>1174</v>
      </c>
      <c r="F111">
        <v>83705</v>
      </c>
      <c r="G111">
        <v>5624352083</v>
      </c>
      <c r="H111">
        <v>5624352084</v>
      </c>
    </row>
    <row r="112" spans="1:8" hidden="1" x14ac:dyDescent="0.25">
      <c r="A112" t="s">
        <v>982</v>
      </c>
      <c r="B112" t="s">
        <v>96</v>
      </c>
      <c r="C112" t="s">
        <v>983</v>
      </c>
      <c r="D112" t="s">
        <v>758</v>
      </c>
      <c r="E112" t="s">
        <v>748</v>
      </c>
      <c r="F112">
        <v>92118</v>
      </c>
      <c r="G112">
        <v>6194356585</v>
      </c>
      <c r="H112">
        <v>6194356586</v>
      </c>
    </row>
    <row r="113" spans="1:8" hidden="1" x14ac:dyDescent="0.25">
      <c r="A113" t="s">
        <v>984</v>
      </c>
      <c r="B113" t="s">
        <v>96</v>
      </c>
      <c r="C113" t="s">
        <v>985</v>
      </c>
      <c r="D113" t="s">
        <v>776</v>
      </c>
      <c r="E113" t="s">
        <v>1171</v>
      </c>
      <c r="F113">
        <v>84101</v>
      </c>
      <c r="G113">
        <v>6195630802</v>
      </c>
      <c r="H113">
        <v>6195630803</v>
      </c>
    </row>
    <row r="114" spans="1:8" hidden="1" x14ac:dyDescent="0.25">
      <c r="A114" t="s">
        <v>986</v>
      </c>
      <c r="B114" t="s">
        <v>104</v>
      </c>
      <c r="C114" t="s">
        <v>987</v>
      </c>
      <c r="D114" t="s">
        <v>784</v>
      </c>
      <c r="E114" t="s">
        <v>1170</v>
      </c>
      <c r="F114">
        <v>99201</v>
      </c>
      <c r="G114">
        <v>4808748120</v>
      </c>
      <c r="H114">
        <v>4808748121</v>
      </c>
    </row>
    <row r="115" spans="1:8" hidden="1" x14ac:dyDescent="0.25">
      <c r="A115" t="s">
        <v>988</v>
      </c>
      <c r="B115" t="s">
        <v>104</v>
      </c>
      <c r="C115" t="s">
        <v>989</v>
      </c>
      <c r="D115" t="s">
        <v>764</v>
      </c>
      <c r="E115" t="s">
        <v>1166</v>
      </c>
      <c r="F115">
        <v>89143</v>
      </c>
      <c r="G115">
        <v>7025612356</v>
      </c>
      <c r="H115">
        <v>7025612388</v>
      </c>
    </row>
    <row r="116" spans="1:8" hidden="1" x14ac:dyDescent="0.25">
      <c r="A116" t="s">
        <v>990</v>
      </c>
      <c r="B116" t="s">
        <v>104</v>
      </c>
      <c r="C116" t="s">
        <v>991</v>
      </c>
      <c r="D116" t="s">
        <v>776</v>
      </c>
      <c r="E116" t="s">
        <v>1171</v>
      </c>
      <c r="F116">
        <v>84115</v>
      </c>
      <c r="G116">
        <v>8018281640</v>
      </c>
      <c r="H116">
        <v>8018281641</v>
      </c>
    </row>
    <row r="117" spans="1:8" hidden="1" x14ac:dyDescent="0.25">
      <c r="A117" t="s">
        <v>992</v>
      </c>
      <c r="B117" t="s">
        <v>104</v>
      </c>
      <c r="C117" t="s">
        <v>993</v>
      </c>
      <c r="D117" t="s">
        <v>813</v>
      </c>
      <c r="E117" t="s">
        <v>1167</v>
      </c>
      <c r="F117">
        <v>85746</v>
      </c>
      <c r="G117">
        <v>5207412400</v>
      </c>
      <c r="H117">
        <v>5207412401</v>
      </c>
    </row>
    <row r="118" spans="1:8" hidden="1" x14ac:dyDescent="0.25">
      <c r="A118" t="s">
        <v>994</v>
      </c>
      <c r="B118" t="s">
        <v>104</v>
      </c>
      <c r="C118" t="s">
        <v>995</v>
      </c>
      <c r="D118" t="s">
        <v>779</v>
      </c>
      <c r="E118" t="s">
        <v>1167</v>
      </c>
      <c r="F118">
        <v>85035</v>
      </c>
      <c r="G118">
        <v>6238456292</v>
      </c>
      <c r="H118">
        <v>6238456293</v>
      </c>
    </row>
    <row r="119" spans="1:8" hidden="1" x14ac:dyDescent="0.25">
      <c r="A119" t="s">
        <v>996</v>
      </c>
      <c r="B119" t="s">
        <v>104</v>
      </c>
      <c r="C119" t="s">
        <v>997</v>
      </c>
      <c r="D119" t="s">
        <v>163</v>
      </c>
      <c r="E119" t="s">
        <v>748</v>
      </c>
      <c r="F119">
        <v>90019</v>
      </c>
      <c r="G119">
        <v>3236179570</v>
      </c>
      <c r="H119">
        <v>3236179571</v>
      </c>
    </row>
    <row r="120" spans="1:8" hidden="1" x14ac:dyDescent="0.25">
      <c r="A120" t="s">
        <v>998</v>
      </c>
      <c r="B120" t="s">
        <v>104</v>
      </c>
      <c r="C120" t="s">
        <v>999</v>
      </c>
      <c r="D120" t="s">
        <v>758</v>
      </c>
      <c r="E120" t="s">
        <v>748</v>
      </c>
      <c r="F120">
        <v>92108</v>
      </c>
      <c r="G120">
        <v>6195845500</v>
      </c>
      <c r="H120">
        <v>6195845501</v>
      </c>
    </row>
    <row r="121" spans="1:8" hidden="1" x14ac:dyDescent="0.25">
      <c r="A121" t="s">
        <v>1000</v>
      </c>
      <c r="B121" t="s">
        <v>104</v>
      </c>
      <c r="C121" t="s">
        <v>1001</v>
      </c>
      <c r="D121" t="s">
        <v>838</v>
      </c>
      <c r="E121" t="s">
        <v>1168</v>
      </c>
      <c r="F121">
        <v>80909</v>
      </c>
      <c r="G121">
        <v>7193134650</v>
      </c>
      <c r="H121">
        <v>7193134651</v>
      </c>
    </row>
    <row r="122" spans="1:8" hidden="1" x14ac:dyDescent="0.25">
      <c r="A122" t="s">
        <v>1002</v>
      </c>
      <c r="B122" t="s">
        <v>104</v>
      </c>
      <c r="C122" t="s">
        <v>1003</v>
      </c>
      <c r="D122" t="s">
        <v>804</v>
      </c>
      <c r="E122" t="s">
        <v>1174</v>
      </c>
      <c r="F122">
        <v>83709</v>
      </c>
      <c r="G122">
        <v>2083761001</v>
      </c>
      <c r="H122">
        <v>2083761002</v>
      </c>
    </row>
    <row r="123" spans="1:8" hidden="1" x14ac:dyDescent="0.25">
      <c r="A123" t="s">
        <v>1004</v>
      </c>
      <c r="B123" t="s">
        <v>104</v>
      </c>
      <c r="C123" t="s">
        <v>1005</v>
      </c>
      <c r="D123" t="s">
        <v>855</v>
      </c>
      <c r="E123" t="s">
        <v>1173</v>
      </c>
      <c r="F123">
        <v>87111</v>
      </c>
      <c r="G123">
        <v>5053235816</v>
      </c>
      <c r="H123">
        <v>5053235817</v>
      </c>
    </row>
    <row r="124" spans="1:8" hidden="1" x14ac:dyDescent="0.25">
      <c r="A124" t="s">
        <v>1006</v>
      </c>
      <c r="B124" t="s">
        <v>112</v>
      </c>
      <c r="C124" t="s">
        <v>1007</v>
      </c>
      <c r="D124" t="s">
        <v>764</v>
      </c>
      <c r="E124" t="s">
        <v>1166</v>
      </c>
      <c r="F124">
        <v>89119</v>
      </c>
      <c r="G124">
        <v>7022218826</v>
      </c>
      <c r="H124">
        <v>7022218825</v>
      </c>
    </row>
    <row r="125" spans="1:8" hidden="1" x14ac:dyDescent="0.25">
      <c r="A125" t="s">
        <v>1008</v>
      </c>
      <c r="B125" t="s">
        <v>112</v>
      </c>
      <c r="C125" t="s">
        <v>1009</v>
      </c>
      <c r="D125" t="s">
        <v>767</v>
      </c>
      <c r="E125" t="s">
        <v>1166</v>
      </c>
      <c r="F125">
        <v>89511</v>
      </c>
      <c r="G125">
        <v>7753335460</v>
      </c>
      <c r="H125">
        <v>7753335461</v>
      </c>
    </row>
    <row r="126" spans="1:8" hidden="1" x14ac:dyDescent="0.25">
      <c r="A126" t="s">
        <v>1010</v>
      </c>
      <c r="B126" t="s">
        <v>112</v>
      </c>
      <c r="C126" t="s">
        <v>1011</v>
      </c>
      <c r="D126" t="s">
        <v>787</v>
      </c>
      <c r="E126" t="s">
        <v>1172</v>
      </c>
      <c r="F126">
        <v>97204</v>
      </c>
      <c r="G126">
        <v>5032652010</v>
      </c>
      <c r="H126">
        <v>5032652011</v>
      </c>
    </row>
    <row r="127" spans="1:8" hidden="1" x14ac:dyDescent="0.25">
      <c r="A127" t="s">
        <v>1012</v>
      </c>
      <c r="B127" t="s">
        <v>112</v>
      </c>
      <c r="C127" t="s">
        <v>1013</v>
      </c>
      <c r="D127" t="s">
        <v>155</v>
      </c>
      <c r="E127" t="s">
        <v>1170</v>
      </c>
      <c r="F127">
        <v>98105</v>
      </c>
      <c r="G127">
        <v>2068920433</v>
      </c>
      <c r="H127">
        <v>2068920432</v>
      </c>
    </row>
    <row r="128" spans="1:8" hidden="1" x14ac:dyDescent="0.25">
      <c r="A128" t="s">
        <v>1014</v>
      </c>
      <c r="B128" t="s">
        <v>112</v>
      </c>
      <c r="C128" t="s">
        <v>1015</v>
      </c>
      <c r="D128" t="s">
        <v>784</v>
      </c>
      <c r="E128" t="s">
        <v>1170</v>
      </c>
      <c r="F128">
        <v>99201</v>
      </c>
      <c r="G128">
        <v>5094588080</v>
      </c>
      <c r="H128">
        <v>5094588081</v>
      </c>
    </row>
    <row r="129" spans="1:8" hidden="1" x14ac:dyDescent="0.25">
      <c r="A129" t="s">
        <v>1016</v>
      </c>
      <c r="B129" t="s">
        <v>112</v>
      </c>
      <c r="C129" t="s">
        <v>1017</v>
      </c>
      <c r="D129" t="s">
        <v>838</v>
      </c>
      <c r="E129" t="s">
        <v>1168</v>
      </c>
      <c r="F129">
        <v>80920</v>
      </c>
      <c r="G129">
        <v>7195224460</v>
      </c>
      <c r="H129">
        <v>7195224461</v>
      </c>
    </row>
    <row r="130" spans="1:8" hidden="1" x14ac:dyDescent="0.25">
      <c r="A130" t="s">
        <v>1018</v>
      </c>
      <c r="B130" t="s">
        <v>112</v>
      </c>
      <c r="C130" t="s">
        <v>1019</v>
      </c>
      <c r="D130" t="s">
        <v>770</v>
      </c>
      <c r="E130" t="s">
        <v>1168</v>
      </c>
      <c r="F130">
        <v>80206</v>
      </c>
      <c r="G130">
        <v>3035837310</v>
      </c>
      <c r="H130">
        <v>3035837311</v>
      </c>
    </row>
    <row r="131" spans="1:8" hidden="1" x14ac:dyDescent="0.25">
      <c r="A131" t="s">
        <v>1020</v>
      </c>
      <c r="B131" t="s">
        <v>112</v>
      </c>
      <c r="C131" t="s">
        <v>1021</v>
      </c>
      <c r="D131" t="s">
        <v>776</v>
      </c>
      <c r="E131" t="s">
        <v>1171</v>
      </c>
      <c r="F131">
        <v>84101</v>
      </c>
      <c r="G131">
        <v>8014569400</v>
      </c>
      <c r="H131">
        <v>8014569401</v>
      </c>
    </row>
    <row r="132" spans="1:8" hidden="1" x14ac:dyDescent="0.25">
      <c r="A132" t="s">
        <v>1022</v>
      </c>
      <c r="B132" t="s">
        <v>112</v>
      </c>
      <c r="C132" t="s">
        <v>1023</v>
      </c>
      <c r="D132" t="s">
        <v>813</v>
      </c>
      <c r="E132" t="s">
        <v>1167</v>
      </c>
      <c r="F132">
        <v>85718</v>
      </c>
      <c r="G132">
        <v>5202097440</v>
      </c>
      <c r="H132">
        <v>5202097441</v>
      </c>
    </row>
    <row r="133" spans="1:8" hidden="1" x14ac:dyDescent="0.25">
      <c r="A133" t="s">
        <v>1024</v>
      </c>
      <c r="B133" t="s">
        <v>112</v>
      </c>
      <c r="C133" t="s">
        <v>1025</v>
      </c>
      <c r="D133" t="s">
        <v>779</v>
      </c>
      <c r="E133" t="s">
        <v>1167</v>
      </c>
      <c r="F133">
        <v>85016</v>
      </c>
      <c r="G133">
        <v>6026061470</v>
      </c>
      <c r="H133">
        <v>6026061471</v>
      </c>
    </row>
    <row r="134" spans="1:8" hidden="1" x14ac:dyDescent="0.25">
      <c r="A134" t="s">
        <v>1026</v>
      </c>
      <c r="B134" t="s">
        <v>120</v>
      </c>
      <c r="C134" t="s">
        <v>1027</v>
      </c>
      <c r="D134" t="s">
        <v>163</v>
      </c>
      <c r="E134" t="s">
        <v>748</v>
      </c>
      <c r="F134">
        <v>90027</v>
      </c>
      <c r="G134">
        <v>3236600687</v>
      </c>
      <c r="H134">
        <v>3236600688</v>
      </c>
    </row>
    <row r="135" spans="1:8" hidden="1" x14ac:dyDescent="0.25">
      <c r="A135" t="s">
        <v>1028</v>
      </c>
      <c r="B135" t="s">
        <v>120</v>
      </c>
      <c r="C135" t="s">
        <v>1029</v>
      </c>
      <c r="D135" t="s">
        <v>758</v>
      </c>
      <c r="E135" t="s">
        <v>748</v>
      </c>
      <c r="F135">
        <v>92118</v>
      </c>
      <c r="G135">
        <v>6192341523</v>
      </c>
      <c r="H135">
        <v>6192341523</v>
      </c>
    </row>
    <row r="136" spans="1:8" hidden="1" x14ac:dyDescent="0.25">
      <c r="A136" t="s">
        <v>1030</v>
      </c>
      <c r="B136" t="s">
        <v>120</v>
      </c>
      <c r="C136" t="s">
        <v>1031</v>
      </c>
      <c r="D136" t="s">
        <v>804</v>
      </c>
      <c r="E136" t="s">
        <v>1174</v>
      </c>
      <c r="F136">
        <v>83704</v>
      </c>
      <c r="G136">
        <v>2083752542</v>
      </c>
      <c r="H136">
        <v>2083752543</v>
      </c>
    </row>
    <row r="137" spans="1:8" hidden="1" x14ac:dyDescent="0.25">
      <c r="A137" t="s">
        <v>1032</v>
      </c>
      <c r="B137" t="s">
        <v>120</v>
      </c>
      <c r="C137" t="s">
        <v>1033</v>
      </c>
      <c r="D137" t="s">
        <v>855</v>
      </c>
      <c r="E137" t="s">
        <v>1173</v>
      </c>
      <c r="F137">
        <v>87112</v>
      </c>
      <c r="G137">
        <v>5052987571</v>
      </c>
      <c r="H137">
        <v>5052987572</v>
      </c>
    </row>
    <row r="138" spans="1:8" hidden="1" x14ac:dyDescent="0.25">
      <c r="A138" t="s">
        <v>1034</v>
      </c>
      <c r="B138" t="s">
        <v>120</v>
      </c>
      <c r="C138" t="s">
        <v>1035</v>
      </c>
      <c r="D138" t="s">
        <v>764</v>
      </c>
      <c r="E138" t="s">
        <v>1166</v>
      </c>
      <c r="F138">
        <v>89131</v>
      </c>
      <c r="G138">
        <v>7026582030</v>
      </c>
      <c r="H138">
        <v>7026582031</v>
      </c>
    </row>
    <row r="139" spans="1:8" hidden="1" x14ac:dyDescent="0.25">
      <c r="A139" t="s">
        <v>1036</v>
      </c>
      <c r="B139" t="s">
        <v>120</v>
      </c>
      <c r="C139" t="s">
        <v>1037</v>
      </c>
      <c r="D139" t="s">
        <v>790</v>
      </c>
      <c r="E139" t="s">
        <v>1172</v>
      </c>
      <c r="F139">
        <v>97405</v>
      </c>
      <c r="G139">
        <v>5416871742</v>
      </c>
      <c r="H139">
        <v>5416871743</v>
      </c>
    </row>
    <row r="140" spans="1:8" hidden="1" x14ac:dyDescent="0.25">
      <c r="A140" t="s">
        <v>1038</v>
      </c>
      <c r="B140" t="s">
        <v>120</v>
      </c>
      <c r="C140" t="s">
        <v>1039</v>
      </c>
      <c r="D140" t="s">
        <v>787</v>
      </c>
      <c r="E140" t="s">
        <v>1172</v>
      </c>
      <c r="F140">
        <v>97221</v>
      </c>
      <c r="G140">
        <v>5032461713</v>
      </c>
      <c r="H140">
        <v>5032461714</v>
      </c>
    </row>
    <row r="141" spans="1:8" x14ac:dyDescent="0.25">
      <c r="A141" t="s">
        <v>1040</v>
      </c>
      <c r="B141" t="s">
        <v>40</v>
      </c>
      <c r="C141" t="s">
        <v>1041</v>
      </c>
      <c r="D141" t="s">
        <v>790</v>
      </c>
      <c r="E141" t="s">
        <v>1172</v>
      </c>
      <c r="F141">
        <v>97408</v>
      </c>
      <c r="G141">
        <v>4065436445</v>
      </c>
      <c r="H141">
        <v>4065436445</v>
      </c>
    </row>
    <row r="142" spans="1:8" x14ac:dyDescent="0.25">
      <c r="A142" t="s">
        <v>1042</v>
      </c>
      <c r="B142" t="s">
        <v>40</v>
      </c>
      <c r="C142" t="s">
        <v>1043</v>
      </c>
      <c r="D142" t="s">
        <v>864</v>
      </c>
      <c r="E142" t="s">
        <v>1170</v>
      </c>
      <c r="F142">
        <v>98665</v>
      </c>
      <c r="G142">
        <v>3608282262</v>
      </c>
      <c r="H142">
        <v>3068282263</v>
      </c>
    </row>
    <row r="143" spans="1:8" x14ac:dyDescent="0.25">
      <c r="A143" t="s">
        <v>1044</v>
      </c>
      <c r="B143" t="s">
        <v>40</v>
      </c>
      <c r="C143" t="s">
        <v>1045</v>
      </c>
      <c r="D143" t="s">
        <v>838</v>
      </c>
      <c r="E143" t="s">
        <v>1168</v>
      </c>
      <c r="F143">
        <v>80918</v>
      </c>
      <c r="G143">
        <v>3034633603</v>
      </c>
      <c r="H143">
        <v>3034633604</v>
      </c>
    </row>
    <row r="144" spans="1:8" x14ac:dyDescent="0.25">
      <c r="A144" t="s">
        <v>1046</v>
      </c>
      <c r="B144" t="s">
        <v>40</v>
      </c>
      <c r="C144" t="s">
        <v>1047</v>
      </c>
      <c r="D144" t="s">
        <v>855</v>
      </c>
      <c r="E144" t="s">
        <v>1173</v>
      </c>
      <c r="F144">
        <v>87123</v>
      </c>
      <c r="G144">
        <v>5053326603</v>
      </c>
      <c r="H144">
        <v>5053326604</v>
      </c>
    </row>
    <row r="145" spans="1:8" x14ac:dyDescent="0.25">
      <c r="A145" t="s">
        <v>1048</v>
      </c>
      <c r="B145" t="s">
        <v>40</v>
      </c>
      <c r="C145" t="s">
        <v>1049</v>
      </c>
      <c r="D145" t="s">
        <v>779</v>
      </c>
      <c r="E145" t="s">
        <v>1167</v>
      </c>
      <c r="F145">
        <v>85032</v>
      </c>
      <c r="G145">
        <v>9285412203</v>
      </c>
      <c r="H145">
        <v>9285412204</v>
      </c>
    </row>
    <row r="146" spans="1:8" x14ac:dyDescent="0.25">
      <c r="A146" t="s">
        <v>1050</v>
      </c>
      <c r="B146" t="s">
        <v>40</v>
      </c>
      <c r="C146" t="s">
        <v>1051</v>
      </c>
      <c r="D146" t="s">
        <v>163</v>
      </c>
      <c r="E146" t="s">
        <v>748</v>
      </c>
      <c r="F146">
        <v>90039</v>
      </c>
      <c r="G146">
        <v>5413832299</v>
      </c>
      <c r="H146">
        <v>5413832299</v>
      </c>
    </row>
    <row r="147" spans="1:8" hidden="1" x14ac:dyDescent="0.25">
      <c r="A147" t="s">
        <v>1052</v>
      </c>
      <c r="B147" t="s">
        <v>48</v>
      </c>
      <c r="C147" t="s">
        <v>1053</v>
      </c>
      <c r="D147" t="s">
        <v>855</v>
      </c>
      <c r="E147" t="s">
        <v>1173</v>
      </c>
      <c r="F147">
        <v>87114</v>
      </c>
      <c r="G147">
        <v>8188434026</v>
      </c>
      <c r="H147">
        <v>8188434027</v>
      </c>
    </row>
    <row r="148" spans="1:8" hidden="1" x14ac:dyDescent="0.25">
      <c r="A148" t="s">
        <v>1054</v>
      </c>
      <c r="B148" t="s">
        <v>48</v>
      </c>
      <c r="C148" t="s">
        <v>1055</v>
      </c>
      <c r="D148" t="s">
        <v>770</v>
      </c>
      <c r="E148" t="s">
        <v>1168</v>
      </c>
      <c r="F148">
        <v>80209</v>
      </c>
      <c r="G148">
        <v>6505716177</v>
      </c>
      <c r="H148">
        <v>6505716178</v>
      </c>
    </row>
    <row r="149" spans="1:8" hidden="1" x14ac:dyDescent="0.25">
      <c r="A149" t="s">
        <v>1056</v>
      </c>
      <c r="B149" t="s">
        <v>48</v>
      </c>
      <c r="C149" t="s">
        <v>1057</v>
      </c>
      <c r="D149" t="s">
        <v>758</v>
      </c>
      <c r="E149" t="s">
        <v>748</v>
      </c>
      <c r="F149">
        <v>92105</v>
      </c>
      <c r="G149">
        <v>7607887886</v>
      </c>
      <c r="H149">
        <v>7607887887</v>
      </c>
    </row>
    <row r="150" spans="1:8" hidden="1" x14ac:dyDescent="0.25">
      <c r="A150" t="s">
        <v>1058</v>
      </c>
      <c r="B150" t="s">
        <v>48</v>
      </c>
      <c r="C150" t="s">
        <v>1059</v>
      </c>
      <c r="D150" t="s">
        <v>755</v>
      </c>
      <c r="E150" t="s">
        <v>748</v>
      </c>
      <c r="F150">
        <v>92806</v>
      </c>
      <c r="G150">
        <v>9098617741</v>
      </c>
      <c r="H150">
        <v>9098617742</v>
      </c>
    </row>
    <row r="151" spans="1:8" hidden="1" x14ac:dyDescent="0.25">
      <c r="A151" t="s">
        <v>1060</v>
      </c>
      <c r="B151" t="s">
        <v>48</v>
      </c>
      <c r="C151" t="s">
        <v>1061</v>
      </c>
      <c r="D151" t="s">
        <v>793</v>
      </c>
      <c r="E151" t="s">
        <v>748</v>
      </c>
      <c r="F151">
        <v>95820</v>
      </c>
      <c r="G151">
        <v>2098268866</v>
      </c>
      <c r="H151">
        <v>2098268867</v>
      </c>
    </row>
    <row r="152" spans="1:8" hidden="1" x14ac:dyDescent="0.25">
      <c r="A152" t="s">
        <v>1062</v>
      </c>
      <c r="B152" t="s">
        <v>48</v>
      </c>
      <c r="C152" t="s">
        <v>1063</v>
      </c>
      <c r="D152" t="s">
        <v>838</v>
      </c>
      <c r="E152" t="s">
        <v>1168</v>
      </c>
      <c r="F152">
        <v>80907</v>
      </c>
      <c r="G152">
        <v>5417578840</v>
      </c>
      <c r="H152">
        <v>5417578841</v>
      </c>
    </row>
    <row r="153" spans="1:8" hidden="1" x14ac:dyDescent="0.25">
      <c r="A153" t="s">
        <v>1064</v>
      </c>
      <c r="B153" t="s">
        <v>48</v>
      </c>
      <c r="C153" t="s">
        <v>1065</v>
      </c>
      <c r="D153" t="s">
        <v>776</v>
      </c>
      <c r="E153" t="s">
        <v>1171</v>
      </c>
      <c r="F153">
        <v>84119</v>
      </c>
      <c r="G153">
        <v>5416735113</v>
      </c>
      <c r="H153">
        <v>5416735112</v>
      </c>
    </row>
    <row r="154" spans="1:8" hidden="1" x14ac:dyDescent="0.25">
      <c r="A154" t="s">
        <v>1066</v>
      </c>
      <c r="B154" t="s">
        <v>48</v>
      </c>
      <c r="C154" t="s">
        <v>1067</v>
      </c>
      <c r="D154" t="s">
        <v>813</v>
      </c>
      <c r="E154" t="s">
        <v>1167</v>
      </c>
      <c r="F154">
        <v>85710</v>
      </c>
      <c r="G154">
        <v>7074449605</v>
      </c>
      <c r="H154">
        <v>7074449606</v>
      </c>
    </row>
    <row r="155" spans="1:8" hidden="1" x14ac:dyDescent="0.25">
      <c r="A155" t="s">
        <v>1068</v>
      </c>
      <c r="B155" t="s">
        <v>48</v>
      </c>
      <c r="C155" t="s">
        <v>1069</v>
      </c>
      <c r="D155" t="s">
        <v>779</v>
      </c>
      <c r="E155" t="s">
        <v>1167</v>
      </c>
      <c r="F155">
        <v>97045</v>
      </c>
      <c r="G155">
        <v>5036557050</v>
      </c>
      <c r="H155">
        <v>5036557051</v>
      </c>
    </row>
    <row r="156" spans="1:8" hidden="1" x14ac:dyDescent="0.25">
      <c r="A156" t="s">
        <v>1070</v>
      </c>
      <c r="B156" t="s">
        <v>48</v>
      </c>
      <c r="C156" t="s">
        <v>1071</v>
      </c>
      <c r="D156" t="s">
        <v>787</v>
      </c>
      <c r="E156" t="s">
        <v>1172</v>
      </c>
      <c r="F156">
        <v>97230</v>
      </c>
      <c r="G156">
        <v>5032558903</v>
      </c>
      <c r="H156">
        <v>5032558904</v>
      </c>
    </row>
    <row r="157" spans="1:8" hidden="1" x14ac:dyDescent="0.25">
      <c r="A157" t="s">
        <v>1072</v>
      </c>
      <c r="B157" t="s">
        <v>56</v>
      </c>
      <c r="C157" t="s">
        <v>1073</v>
      </c>
      <c r="D157" t="s">
        <v>755</v>
      </c>
      <c r="E157" t="s">
        <v>748</v>
      </c>
      <c r="F157">
        <v>83709</v>
      </c>
      <c r="G157">
        <v>2083190191</v>
      </c>
      <c r="H157">
        <v>2083180192</v>
      </c>
    </row>
    <row r="158" spans="1:8" hidden="1" x14ac:dyDescent="0.25">
      <c r="A158" t="s">
        <v>1074</v>
      </c>
      <c r="B158" t="s">
        <v>56</v>
      </c>
      <c r="C158" t="s">
        <v>1075</v>
      </c>
      <c r="D158" t="s">
        <v>855</v>
      </c>
      <c r="E158" t="s">
        <v>1173</v>
      </c>
      <c r="F158">
        <v>87106</v>
      </c>
      <c r="G158">
        <v>2083191271</v>
      </c>
      <c r="H158">
        <v>2083191272</v>
      </c>
    </row>
    <row r="159" spans="1:8" hidden="1" x14ac:dyDescent="0.25">
      <c r="A159" t="s">
        <v>1076</v>
      </c>
      <c r="B159" t="s">
        <v>56</v>
      </c>
      <c r="C159" t="s">
        <v>1077</v>
      </c>
      <c r="D159" t="s">
        <v>838</v>
      </c>
      <c r="E159" t="s">
        <v>1168</v>
      </c>
      <c r="F159">
        <v>80904</v>
      </c>
      <c r="G159">
        <v>9702081014</v>
      </c>
      <c r="H159">
        <v>9702081015</v>
      </c>
    </row>
    <row r="160" spans="1:8" hidden="1" x14ac:dyDescent="0.25">
      <c r="A160" t="s">
        <v>1078</v>
      </c>
      <c r="B160" t="s">
        <v>56</v>
      </c>
      <c r="C160" t="s">
        <v>1079</v>
      </c>
      <c r="D160" t="s">
        <v>804</v>
      </c>
      <c r="E160" t="s">
        <v>1174</v>
      </c>
      <c r="F160">
        <v>83706</v>
      </c>
      <c r="G160">
        <v>9705649156</v>
      </c>
      <c r="H160">
        <v>9705649157</v>
      </c>
    </row>
    <row r="161" spans="1:8" hidden="1" x14ac:dyDescent="0.25">
      <c r="A161" t="s">
        <v>1080</v>
      </c>
      <c r="B161" t="s">
        <v>56</v>
      </c>
      <c r="C161" t="s">
        <v>1081</v>
      </c>
      <c r="D161" t="s">
        <v>773</v>
      </c>
      <c r="E161" t="s">
        <v>1169</v>
      </c>
      <c r="F161">
        <v>82604</v>
      </c>
      <c r="G161">
        <v>3073822536</v>
      </c>
      <c r="H161">
        <v>3073822537</v>
      </c>
    </row>
    <row r="162" spans="1:8" hidden="1" x14ac:dyDescent="0.25">
      <c r="A162" t="s">
        <v>1082</v>
      </c>
      <c r="B162" t="s">
        <v>56</v>
      </c>
      <c r="C162" t="s">
        <v>1083</v>
      </c>
      <c r="D162" t="s">
        <v>770</v>
      </c>
      <c r="E162" t="s">
        <v>1168</v>
      </c>
      <c r="F162">
        <v>80207</v>
      </c>
      <c r="G162">
        <v>3033207847</v>
      </c>
      <c r="H162">
        <v>3033207848</v>
      </c>
    </row>
    <row r="163" spans="1:8" hidden="1" x14ac:dyDescent="0.25">
      <c r="A163" t="s">
        <v>1084</v>
      </c>
      <c r="B163" t="s">
        <v>56</v>
      </c>
      <c r="C163" t="s">
        <v>1085</v>
      </c>
      <c r="D163" t="s">
        <v>784</v>
      </c>
      <c r="E163" t="s">
        <v>1170</v>
      </c>
      <c r="F163">
        <v>99202</v>
      </c>
      <c r="G163">
        <v>7202836236</v>
      </c>
      <c r="H163">
        <v>7202836236</v>
      </c>
    </row>
    <row r="164" spans="1:8" hidden="1" x14ac:dyDescent="0.25">
      <c r="A164" t="s">
        <v>1086</v>
      </c>
      <c r="B164" t="s">
        <v>56</v>
      </c>
      <c r="C164" t="s">
        <v>1087</v>
      </c>
      <c r="D164" t="s">
        <v>155</v>
      </c>
      <c r="E164" t="s">
        <v>1170</v>
      </c>
      <c r="F164">
        <v>98144</v>
      </c>
      <c r="G164">
        <v>2063296850</v>
      </c>
      <c r="H164">
        <v>2063296851</v>
      </c>
    </row>
    <row r="165" spans="1:8" hidden="1" x14ac:dyDescent="0.25">
      <c r="A165" t="s">
        <v>1088</v>
      </c>
      <c r="B165" t="s">
        <v>56</v>
      </c>
      <c r="C165" t="s">
        <v>1089</v>
      </c>
      <c r="D165" t="s">
        <v>864</v>
      </c>
      <c r="E165" t="s">
        <v>1170</v>
      </c>
      <c r="F165">
        <v>98661</v>
      </c>
      <c r="G165">
        <v>3604550029</v>
      </c>
      <c r="H165">
        <v>3604550028</v>
      </c>
    </row>
    <row r="166" spans="1:8" hidden="1" x14ac:dyDescent="0.25">
      <c r="A166" t="s">
        <v>1090</v>
      </c>
      <c r="B166" t="s">
        <v>56</v>
      </c>
      <c r="C166" t="s">
        <v>1091</v>
      </c>
      <c r="D166" t="s">
        <v>813</v>
      </c>
      <c r="E166" t="s">
        <v>1167</v>
      </c>
      <c r="F166">
        <v>85711</v>
      </c>
      <c r="G166">
        <v>4253341523</v>
      </c>
      <c r="H166">
        <v>4253341524</v>
      </c>
    </row>
    <row r="167" spans="1:8" hidden="1" x14ac:dyDescent="0.25">
      <c r="A167" t="s">
        <v>1092</v>
      </c>
      <c r="B167" t="s">
        <v>64</v>
      </c>
      <c r="C167" t="s">
        <v>1093</v>
      </c>
      <c r="D167" t="s">
        <v>758</v>
      </c>
      <c r="E167" t="s">
        <v>748</v>
      </c>
      <c r="F167">
        <v>92104</v>
      </c>
      <c r="G167">
        <v>3102874425</v>
      </c>
      <c r="H167">
        <v>3102874426</v>
      </c>
    </row>
    <row r="168" spans="1:8" hidden="1" x14ac:dyDescent="0.25">
      <c r="A168" t="s">
        <v>1094</v>
      </c>
      <c r="B168" t="s">
        <v>64</v>
      </c>
      <c r="C168" t="s">
        <v>1095</v>
      </c>
      <c r="D168" t="s">
        <v>764</v>
      </c>
      <c r="E168" t="s">
        <v>1166</v>
      </c>
      <c r="F168">
        <v>89130</v>
      </c>
      <c r="G168">
        <v>7024335021</v>
      </c>
      <c r="H168">
        <v>7024335022</v>
      </c>
    </row>
    <row r="169" spans="1:8" hidden="1" x14ac:dyDescent="0.25">
      <c r="A169" t="s">
        <v>1096</v>
      </c>
      <c r="B169" t="s">
        <v>64</v>
      </c>
      <c r="C169" t="s">
        <v>1097</v>
      </c>
      <c r="D169" t="s">
        <v>779</v>
      </c>
      <c r="E169" t="s">
        <v>1167</v>
      </c>
      <c r="F169">
        <v>85016</v>
      </c>
      <c r="G169">
        <v>6022653344</v>
      </c>
      <c r="H169">
        <v>6022653345</v>
      </c>
    </row>
    <row r="170" spans="1:8" hidden="1" x14ac:dyDescent="0.25">
      <c r="A170" t="s">
        <v>1098</v>
      </c>
      <c r="B170" t="s">
        <v>64</v>
      </c>
      <c r="C170" t="s">
        <v>1099</v>
      </c>
      <c r="D170" t="s">
        <v>855</v>
      </c>
      <c r="E170" t="s">
        <v>1173</v>
      </c>
      <c r="F170">
        <v>87120</v>
      </c>
      <c r="G170">
        <v>5058315946</v>
      </c>
      <c r="H170">
        <v>5058315947</v>
      </c>
    </row>
    <row r="171" spans="1:8" hidden="1" x14ac:dyDescent="0.25">
      <c r="A171" t="s">
        <v>1100</v>
      </c>
      <c r="B171" t="s">
        <v>64</v>
      </c>
      <c r="C171" t="s">
        <v>1101</v>
      </c>
      <c r="D171" t="s">
        <v>163</v>
      </c>
      <c r="E171" t="s">
        <v>748</v>
      </c>
      <c r="F171">
        <v>90017</v>
      </c>
      <c r="G171">
        <v>2084676901</v>
      </c>
      <c r="H171">
        <v>2084676902</v>
      </c>
    </row>
    <row r="172" spans="1:8" hidden="1" x14ac:dyDescent="0.25">
      <c r="A172" t="s">
        <v>1102</v>
      </c>
      <c r="B172" t="s">
        <v>64</v>
      </c>
      <c r="C172" t="s">
        <v>1103</v>
      </c>
      <c r="D172" t="s">
        <v>776</v>
      </c>
      <c r="E172" t="s">
        <v>1171</v>
      </c>
      <c r="F172">
        <v>84111</v>
      </c>
      <c r="G172">
        <v>8018257638</v>
      </c>
      <c r="H172">
        <v>8018257639</v>
      </c>
    </row>
    <row r="173" spans="1:8" hidden="1" x14ac:dyDescent="0.25">
      <c r="A173" t="s">
        <v>1104</v>
      </c>
      <c r="B173" t="s">
        <v>64</v>
      </c>
      <c r="C173" t="s">
        <v>1105</v>
      </c>
      <c r="D173" t="s">
        <v>787</v>
      </c>
      <c r="E173" t="s">
        <v>1172</v>
      </c>
      <c r="F173">
        <v>97204</v>
      </c>
      <c r="G173">
        <v>5036431650</v>
      </c>
      <c r="H173">
        <v>5036431651</v>
      </c>
    </row>
    <row r="174" spans="1:8" hidden="1" x14ac:dyDescent="0.25">
      <c r="A174" t="s">
        <v>1106</v>
      </c>
      <c r="B174" t="s">
        <v>152</v>
      </c>
      <c r="C174" t="s">
        <v>1107</v>
      </c>
      <c r="D174" t="s">
        <v>755</v>
      </c>
      <c r="E174" t="s">
        <v>748</v>
      </c>
      <c r="F174">
        <v>92806</v>
      </c>
      <c r="G174">
        <v>7146358880</v>
      </c>
      <c r="H174">
        <v>7146358882</v>
      </c>
    </row>
    <row r="175" spans="1:8" hidden="1" x14ac:dyDescent="0.25">
      <c r="A175" t="s">
        <v>1108</v>
      </c>
      <c r="B175" t="s">
        <v>152</v>
      </c>
      <c r="C175" t="s">
        <v>1109</v>
      </c>
      <c r="D175" t="s">
        <v>761</v>
      </c>
      <c r="E175" t="s">
        <v>748</v>
      </c>
      <c r="F175">
        <v>95122</v>
      </c>
      <c r="G175">
        <v>4082793277</v>
      </c>
      <c r="H175">
        <v>4082793278</v>
      </c>
    </row>
    <row r="176" spans="1:8" hidden="1" x14ac:dyDescent="0.25">
      <c r="A176" t="s">
        <v>1110</v>
      </c>
      <c r="B176" t="s">
        <v>152</v>
      </c>
      <c r="C176" t="s">
        <v>1111</v>
      </c>
      <c r="D176" t="s">
        <v>758</v>
      </c>
      <c r="E176" t="s">
        <v>748</v>
      </c>
      <c r="F176">
        <v>92101</v>
      </c>
      <c r="G176">
        <v>6195951581</v>
      </c>
      <c r="H176">
        <v>6195951582</v>
      </c>
    </row>
    <row r="177" spans="1:8" hidden="1" x14ac:dyDescent="0.25">
      <c r="A177" t="s">
        <v>1112</v>
      </c>
      <c r="B177" t="s">
        <v>152</v>
      </c>
      <c r="C177" t="s">
        <v>1113</v>
      </c>
      <c r="D177" t="s">
        <v>793</v>
      </c>
      <c r="E177" t="s">
        <v>748</v>
      </c>
      <c r="F177">
        <v>95834</v>
      </c>
      <c r="G177">
        <v>9169278560</v>
      </c>
      <c r="H177">
        <v>9169278560</v>
      </c>
    </row>
    <row r="178" spans="1:8" hidden="1" x14ac:dyDescent="0.25">
      <c r="A178" t="s">
        <v>1114</v>
      </c>
      <c r="B178" t="s">
        <v>152</v>
      </c>
      <c r="C178" t="s">
        <v>1115</v>
      </c>
      <c r="D178" t="s">
        <v>767</v>
      </c>
      <c r="E178" t="s">
        <v>1166</v>
      </c>
      <c r="F178">
        <v>89502</v>
      </c>
      <c r="G178">
        <v>7753235506</v>
      </c>
      <c r="H178">
        <v>7753235506</v>
      </c>
    </row>
    <row r="179" spans="1:8" hidden="1" x14ac:dyDescent="0.25">
      <c r="A179" t="s">
        <v>1116</v>
      </c>
      <c r="B179" t="s">
        <v>152</v>
      </c>
      <c r="C179" t="s">
        <v>1117</v>
      </c>
      <c r="D179" t="s">
        <v>790</v>
      </c>
      <c r="E179" t="s">
        <v>1172</v>
      </c>
      <c r="F179">
        <v>97401</v>
      </c>
      <c r="G179">
        <v>5413430180</v>
      </c>
      <c r="H179">
        <v>5413430181</v>
      </c>
    </row>
    <row r="180" spans="1:8" hidden="1" x14ac:dyDescent="0.25">
      <c r="A180" t="s">
        <v>1118</v>
      </c>
      <c r="B180" t="s">
        <v>152</v>
      </c>
      <c r="C180" t="s">
        <v>1119</v>
      </c>
      <c r="D180" t="s">
        <v>784</v>
      </c>
      <c r="E180" t="s">
        <v>1170</v>
      </c>
      <c r="F180">
        <v>99202</v>
      </c>
      <c r="G180">
        <v>5095324000</v>
      </c>
      <c r="H180">
        <v>5095324000</v>
      </c>
    </row>
    <row r="181" spans="1:8" hidden="1" x14ac:dyDescent="0.25">
      <c r="A181" t="s">
        <v>1120</v>
      </c>
      <c r="B181" t="s">
        <v>152</v>
      </c>
      <c r="C181" t="s">
        <v>1121</v>
      </c>
      <c r="D181" t="s">
        <v>864</v>
      </c>
      <c r="E181" t="s">
        <v>1170</v>
      </c>
      <c r="F181">
        <v>98661</v>
      </c>
      <c r="G181">
        <v>3606191700</v>
      </c>
      <c r="H181">
        <v>3606191701</v>
      </c>
    </row>
    <row r="182" spans="1:8" hidden="1" x14ac:dyDescent="0.25">
      <c r="A182" t="s">
        <v>1122</v>
      </c>
      <c r="B182" t="s">
        <v>160</v>
      </c>
      <c r="C182" t="s">
        <v>1123</v>
      </c>
      <c r="D182" t="s">
        <v>776</v>
      </c>
      <c r="E182" t="s">
        <v>1171</v>
      </c>
      <c r="F182">
        <v>84103</v>
      </c>
      <c r="G182">
        <v>8013281683</v>
      </c>
      <c r="H182">
        <v>8013281684</v>
      </c>
    </row>
    <row r="183" spans="1:8" hidden="1" x14ac:dyDescent="0.25">
      <c r="A183" t="s">
        <v>1124</v>
      </c>
      <c r="B183" t="s">
        <v>160</v>
      </c>
      <c r="C183" t="s">
        <v>1125</v>
      </c>
      <c r="D183" t="s">
        <v>163</v>
      </c>
      <c r="E183" t="s">
        <v>748</v>
      </c>
      <c r="F183">
        <v>90017</v>
      </c>
      <c r="G183">
        <v>2133530920</v>
      </c>
      <c r="H183">
        <v>2133530921</v>
      </c>
    </row>
    <row r="184" spans="1:8" hidden="1" x14ac:dyDescent="0.25">
      <c r="A184" t="s">
        <v>1126</v>
      </c>
      <c r="B184" t="s">
        <v>160</v>
      </c>
      <c r="C184" t="s">
        <v>1127</v>
      </c>
      <c r="D184" t="s">
        <v>793</v>
      </c>
      <c r="E184" t="s">
        <v>748</v>
      </c>
      <c r="F184">
        <v>95815</v>
      </c>
      <c r="G184">
        <v>9169239107</v>
      </c>
      <c r="H184">
        <v>9169239108</v>
      </c>
    </row>
    <row r="185" spans="1:8" hidden="1" x14ac:dyDescent="0.25">
      <c r="A185" t="s">
        <v>1128</v>
      </c>
      <c r="B185" t="s">
        <v>160</v>
      </c>
      <c r="C185" t="s">
        <v>888</v>
      </c>
      <c r="D185" t="s">
        <v>804</v>
      </c>
      <c r="E185" t="s">
        <v>1174</v>
      </c>
      <c r="F185">
        <v>83705</v>
      </c>
      <c r="G185">
        <v>2084296415</v>
      </c>
      <c r="H185">
        <v>2084296416</v>
      </c>
    </row>
    <row r="186" spans="1:8" hidden="1" x14ac:dyDescent="0.25">
      <c r="A186" t="s">
        <v>1129</v>
      </c>
      <c r="B186" t="s">
        <v>160</v>
      </c>
      <c r="C186" t="s">
        <v>1130</v>
      </c>
      <c r="D186" t="s">
        <v>767</v>
      </c>
      <c r="E186" t="s">
        <v>1166</v>
      </c>
      <c r="F186">
        <v>89502</v>
      </c>
      <c r="G186">
        <v>7758572225</v>
      </c>
      <c r="H186">
        <v>7758572226</v>
      </c>
    </row>
    <row r="187" spans="1:8" hidden="1" x14ac:dyDescent="0.25">
      <c r="A187" t="s">
        <v>1131</v>
      </c>
      <c r="B187" t="s">
        <v>160</v>
      </c>
      <c r="C187" t="s">
        <v>1132</v>
      </c>
      <c r="D187" t="s">
        <v>155</v>
      </c>
      <c r="E187" t="s">
        <v>1170</v>
      </c>
      <c r="F187">
        <v>98102</v>
      </c>
      <c r="G187">
        <v>2063286920</v>
      </c>
      <c r="H187">
        <v>2063286920</v>
      </c>
    </row>
    <row r="188" spans="1:8" hidden="1" x14ac:dyDescent="0.25">
      <c r="A188" t="s">
        <v>1133</v>
      </c>
      <c r="B188" t="s">
        <v>160</v>
      </c>
      <c r="C188" t="s">
        <v>1134</v>
      </c>
      <c r="D188" t="s">
        <v>773</v>
      </c>
      <c r="E188" t="s">
        <v>1169</v>
      </c>
      <c r="F188">
        <v>82601</v>
      </c>
      <c r="G188">
        <v>3074732160</v>
      </c>
      <c r="H188">
        <v>3074732161</v>
      </c>
    </row>
    <row r="189" spans="1:8" hidden="1" x14ac:dyDescent="0.25">
      <c r="A189" t="s">
        <v>1135</v>
      </c>
      <c r="B189" t="s">
        <v>160</v>
      </c>
      <c r="C189" t="s">
        <v>1136</v>
      </c>
      <c r="D189" t="s">
        <v>813</v>
      </c>
      <c r="E189" t="s">
        <v>1167</v>
      </c>
      <c r="F189">
        <v>85713</v>
      </c>
      <c r="G189">
        <v>5206246934</v>
      </c>
      <c r="H189">
        <v>5206246935</v>
      </c>
    </row>
    <row r="190" spans="1:8" hidden="1" x14ac:dyDescent="0.25">
      <c r="A190" t="s">
        <v>1137</v>
      </c>
      <c r="B190" t="s">
        <v>160</v>
      </c>
      <c r="C190" t="s">
        <v>1138</v>
      </c>
      <c r="D190" t="s">
        <v>758</v>
      </c>
      <c r="E190" t="s">
        <v>748</v>
      </c>
      <c r="F190">
        <v>92103</v>
      </c>
      <c r="G190">
        <v>6192982931</v>
      </c>
      <c r="H190">
        <v>6192982932</v>
      </c>
    </row>
    <row r="191" spans="1:8" hidden="1" x14ac:dyDescent="0.25">
      <c r="A191" t="s">
        <v>1139</v>
      </c>
      <c r="B191" t="s">
        <v>160</v>
      </c>
      <c r="C191" t="s">
        <v>1140</v>
      </c>
      <c r="D191" t="s">
        <v>855</v>
      </c>
      <c r="E191" t="s">
        <v>1173</v>
      </c>
      <c r="F191">
        <v>87110</v>
      </c>
      <c r="G191">
        <v>5052569423</v>
      </c>
      <c r="H191">
        <v>5052569422</v>
      </c>
    </row>
    <row r="192" spans="1:8" hidden="1" x14ac:dyDescent="0.25">
      <c r="A192" t="s">
        <v>1141</v>
      </c>
      <c r="B192" t="s">
        <v>168</v>
      </c>
      <c r="C192" t="s">
        <v>1142</v>
      </c>
      <c r="D192" t="s">
        <v>787</v>
      </c>
      <c r="E192" t="s">
        <v>1172</v>
      </c>
      <c r="F192">
        <v>97232</v>
      </c>
      <c r="G192">
        <v>5032889554</v>
      </c>
      <c r="H192">
        <v>5032889555</v>
      </c>
    </row>
    <row r="193" spans="1:8" hidden="1" x14ac:dyDescent="0.25">
      <c r="A193" t="s">
        <v>1143</v>
      </c>
      <c r="B193" t="s">
        <v>168</v>
      </c>
      <c r="C193" t="s">
        <v>1144</v>
      </c>
      <c r="D193" t="s">
        <v>864</v>
      </c>
      <c r="E193" t="s">
        <v>1170</v>
      </c>
      <c r="F193">
        <v>98665</v>
      </c>
      <c r="G193">
        <v>3606998116</v>
      </c>
      <c r="H193">
        <v>3606998117</v>
      </c>
    </row>
    <row r="194" spans="1:8" hidden="1" x14ac:dyDescent="0.25">
      <c r="A194" t="s">
        <v>1145</v>
      </c>
      <c r="B194" t="s">
        <v>168</v>
      </c>
      <c r="C194" t="s">
        <v>1146</v>
      </c>
      <c r="D194" t="s">
        <v>838</v>
      </c>
      <c r="E194" t="s">
        <v>1168</v>
      </c>
      <c r="F194">
        <v>80909</v>
      </c>
      <c r="G194">
        <v>7196338623</v>
      </c>
      <c r="H194">
        <v>7196338624</v>
      </c>
    </row>
    <row r="195" spans="1:8" hidden="1" x14ac:dyDescent="0.25">
      <c r="A195" t="s">
        <v>1147</v>
      </c>
      <c r="B195" t="s">
        <v>168</v>
      </c>
      <c r="C195" t="s">
        <v>1148</v>
      </c>
      <c r="D195" t="s">
        <v>779</v>
      </c>
      <c r="E195" t="s">
        <v>1167</v>
      </c>
      <c r="F195">
        <v>85013</v>
      </c>
      <c r="G195">
        <v>6022799001</v>
      </c>
      <c r="H195">
        <v>6022799002</v>
      </c>
    </row>
    <row r="196" spans="1:8" hidden="1" x14ac:dyDescent="0.25">
      <c r="A196" t="s">
        <v>1149</v>
      </c>
      <c r="B196" t="s">
        <v>168</v>
      </c>
      <c r="C196" t="s">
        <v>1150</v>
      </c>
      <c r="D196" t="s">
        <v>761</v>
      </c>
      <c r="E196" t="s">
        <v>748</v>
      </c>
      <c r="F196">
        <v>95125</v>
      </c>
      <c r="G196">
        <v>4082924455</v>
      </c>
      <c r="H196">
        <v>4082924456</v>
      </c>
    </row>
    <row r="197" spans="1:8" hidden="1" x14ac:dyDescent="0.25">
      <c r="A197" t="s">
        <v>1151</v>
      </c>
      <c r="B197" t="s">
        <v>168</v>
      </c>
      <c r="C197" t="s">
        <v>1152</v>
      </c>
      <c r="D197" t="s">
        <v>770</v>
      </c>
      <c r="E197" t="s">
        <v>1168</v>
      </c>
      <c r="F197">
        <v>80218</v>
      </c>
      <c r="G197">
        <v>3038325262</v>
      </c>
      <c r="H197">
        <v>3038325262</v>
      </c>
    </row>
    <row r="198" spans="1:8" hidden="1" x14ac:dyDescent="0.25">
      <c r="A198" t="s">
        <v>1153</v>
      </c>
      <c r="B198" t="s">
        <v>168</v>
      </c>
      <c r="C198" t="s">
        <v>1154</v>
      </c>
      <c r="D198" t="s">
        <v>764</v>
      </c>
      <c r="E198" t="s">
        <v>1166</v>
      </c>
      <c r="F198">
        <v>89106</v>
      </c>
      <c r="G198">
        <v>7028708494</v>
      </c>
      <c r="H198">
        <v>7028708495</v>
      </c>
    </row>
    <row r="199" spans="1:8" hidden="1" x14ac:dyDescent="0.25">
      <c r="A199" t="s">
        <v>1155</v>
      </c>
      <c r="B199" t="s">
        <v>168</v>
      </c>
      <c r="C199" t="s">
        <v>1156</v>
      </c>
      <c r="D199" t="s">
        <v>790</v>
      </c>
      <c r="E199" t="s">
        <v>1172</v>
      </c>
      <c r="F199">
        <v>97402</v>
      </c>
      <c r="G199">
        <v>5414844215</v>
      </c>
      <c r="H199">
        <v>5414844216</v>
      </c>
    </row>
    <row r="200" spans="1:8" hidden="1" x14ac:dyDescent="0.25">
      <c r="A200" t="s">
        <v>1157</v>
      </c>
      <c r="B200" t="s">
        <v>168</v>
      </c>
      <c r="C200" t="s">
        <v>1158</v>
      </c>
      <c r="D200" t="s">
        <v>784</v>
      </c>
      <c r="E200" t="s">
        <v>1170</v>
      </c>
      <c r="F200">
        <v>99207</v>
      </c>
      <c r="G200">
        <v>5094831424</v>
      </c>
      <c r="H200">
        <v>5094831425</v>
      </c>
    </row>
    <row r="201" spans="1:8" hidden="1" x14ac:dyDescent="0.25">
      <c r="A201" t="s">
        <v>1159</v>
      </c>
      <c r="B201" t="s">
        <v>168</v>
      </c>
      <c r="C201" t="s">
        <v>1160</v>
      </c>
      <c r="D201" t="s">
        <v>776</v>
      </c>
      <c r="E201" t="s">
        <v>1171</v>
      </c>
      <c r="F201">
        <v>84102</v>
      </c>
      <c r="G201">
        <v>8013552801</v>
      </c>
      <c r="H201">
        <v>8013552802</v>
      </c>
    </row>
    <row r="202" spans="1:8" hidden="1" x14ac:dyDescent="0.25">
      <c r="A202" t="s">
        <v>1161</v>
      </c>
      <c r="B202" t="s">
        <v>72</v>
      </c>
      <c r="C202" t="s">
        <v>1162</v>
      </c>
      <c r="D202" t="s">
        <v>787</v>
      </c>
      <c r="E202" t="s">
        <v>1172</v>
      </c>
      <c r="F202">
        <v>97232</v>
      </c>
      <c r="G202">
        <v>5032801315</v>
      </c>
      <c r="H202">
        <v>5032801316</v>
      </c>
    </row>
    <row r="203" spans="1:8" hidden="1" x14ac:dyDescent="0.25">
      <c r="A203" t="s">
        <v>1163</v>
      </c>
      <c r="B203" t="s">
        <v>72</v>
      </c>
      <c r="C203" t="s">
        <v>1158</v>
      </c>
      <c r="D203" t="s">
        <v>784</v>
      </c>
      <c r="E203" t="s">
        <v>1172</v>
      </c>
      <c r="F203">
        <v>99207</v>
      </c>
      <c r="G203">
        <v>5094831424</v>
      </c>
      <c r="H203">
        <v>5094831425</v>
      </c>
    </row>
    <row r="204" spans="1:8" hidden="1" x14ac:dyDescent="0.25">
      <c r="A204" t="s">
        <v>1164</v>
      </c>
      <c r="B204" t="s">
        <v>64</v>
      </c>
      <c r="C204" t="s">
        <v>1165</v>
      </c>
      <c r="D204" t="s">
        <v>761</v>
      </c>
      <c r="E204" t="s">
        <v>748</v>
      </c>
      <c r="F204">
        <v>95122</v>
      </c>
      <c r="G204">
        <v>4082587455</v>
      </c>
      <c r="H204">
        <v>4082587456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Invoice</vt:lpstr>
      <vt:lpstr>Customers</vt:lpstr>
      <vt:lpstr>Employees</vt:lpstr>
      <vt:lpstr>Products</vt:lpstr>
      <vt:lpstr>Stores</vt:lpstr>
      <vt:lpstr>Invoice!InvoiceItems</vt:lpstr>
      <vt:lpstr>Invoice!Print_Area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Smith</dc:creator>
  <cp:lastModifiedBy>John Smith</cp:lastModifiedBy>
  <cp:lastPrinted>2016-05-16T11:05:29Z</cp:lastPrinted>
  <dcterms:created xsi:type="dcterms:W3CDTF">2016-05-16T06:39:08Z</dcterms:created>
  <dcterms:modified xsi:type="dcterms:W3CDTF">2021-10-07T14:40:48Z</dcterms:modified>
</cp:coreProperties>
</file>